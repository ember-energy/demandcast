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odelling\demandcast\demandcast\retrievals\socio_economic_data_sources\manual_downloads\"/>
    </mc:Choice>
  </mc:AlternateContent>
  <xr:revisionPtr revIDLastSave="0" documentId="13_ncr:1_{6B57C9DF-2A2C-4319-8F94-D042EC00DB06}" xr6:coauthVersionLast="47" xr6:coauthVersionMax="47" xr10:uidLastSave="{00000000-0000-0000-0000-000000000000}"/>
  <bookViews>
    <workbookView xWindow="-83" yWindow="0" windowWidth="9766" windowHeight="11363" tabRatio="500" activeTab="1" xr2:uid="{00000000-000D-0000-FFFF-FFFF00000000}"/>
  </bookViews>
  <sheets>
    <sheet name="README" sheetId="1" r:id="rId1"/>
    <sheet name="Island_Group_Summary" sheetId="2" r:id="rId2"/>
    <sheet name="Regional_Census" sheetId="3" r:id="rId3"/>
    <sheet name="Verification" sheetId="4" r:id="rId4"/>
    <sheet name="Annual_Interpolated_DERIVED" sheetId="5" r:id="rId5"/>
    <sheet name="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2" l="1"/>
  <c r="G23" i="2"/>
  <c r="G21" i="2"/>
  <c r="B30" i="5"/>
  <c r="C30" i="5" s="1"/>
  <c r="B29" i="5"/>
  <c r="C29" i="5" s="1"/>
  <c r="B28" i="5"/>
  <c r="C28" i="5" s="1"/>
  <c r="B27" i="5"/>
  <c r="C27" i="5" s="1"/>
  <c r="B26" i="5"/>
  <c r="C26" i="5" s="1"/>
  <c r="B25" i="5"/>
  <c r="C25" i="5" s="1"/>
  <c r="B24" i="5"/>
  <c r="C24" i="5" s="1"/>
  <c r="B23" i="5"/>
  <c r="C23" i="5" s="1"/>
  <c r="C22" i="5"/>
  <c r="D22" i="5" s="1"/>
  <c r="B22" i="5"/>
  <c r="B21" i="5"/>
  <c r="C21" i="5" s="1"/>
  <c r="B20" i="5"/>
  <c r="C20" i="5" s="1"/>
  <c r="B19" i="5"/>
  <c r="C19" i="5" s="1"/>
  <c r="B18" i="5"/>
  <c r="C18" i="5" s="1"/>
  <c r="B17" i="5"/>
  <c r="C17" i="5" s="1"/>
  <c r="B16" i="5"/>
  <c r="C16" i="5" s="1"/>
  <c r="B15" i="5"/>
  <c r="C15" i="5" s="1"/>
  <c r="C14" i="5"/>
  <c r="E14" i="5" s="1"/>
  <c r="B14" i="5"/>
  <c r="B13" i="5"/>
  <c r="C13" i="5" s="1"/>
  <c r="B12" i="5"/>
  <c r="C12" i="5" s="1"/>
  <c r="B11" i="5"/>
  <c r="C11" i="5" s="1"/>
  <c r="B10" i="5"/>
  <c r="C10" i="5" s="1"/>
  <c r="B9" i="5"/>
  <c r="C9" i="5" s="1"/>
  <c r="C8" i="5"/>
  <c r="D8" i="5" s="1"/>
  <c r="B8" i="5"/>
  <c r="B7" i="5"/>
  <c r="C7" i="5" s="1"/>
  <c r="B6" i="5"/>
  <c r="C6" i="5" s="1"/>
  <c r="B26" i="4"/>
  <c r="H26" i="4" s="1"/>
  <c r="H25" i="4"/>
  <c r="B25" i="4"/>
  <c r="G25" i="4" s="1"/>
  <c r="B24" i="4"/>
  <c r="F24" i="4" s="1"/>
  <c r="H23" i="4"/>
  <c r="G23" i="4"/>
  <c r="B23" i="4"/>
  <c r="F23" i="4" s="1"/>
  <c r="I23" i="4" s="1"/>
  <c r="B18" i="4"/>
  <c r="G18" i="4" s="1"/>
  <c r="B17" i="4"/>
  <c r="G17" i="4" s="1"/>
  <c r="B16" i="4"/>
  <c r="G16" i="4" s="1"/>
  <c r="B15" i="4"/>
  <c r="F15" i="4" s="1"/>
  <c r="H14" i="4"/>
  <c r="G14" i="4"/>
  <c r="B14" i="4"/>
  <c r="F14" i="4" s="1"/>
  <c r="I14" i="4" s="1"/>
  <c r="B13" i="4"/>
  <c r="H13" i="4" s="1"/>
  <c r="B12" i="4"/>
  <c r="H12" i="4" s="1"/>
  <c r="B11" i="4"/>
  <c r="H11" i="4" s="1"/>
  <c r="H10" i="4"/>
  <c r="G10" i="4"/>
  <c r="I10" i="4" s="1"/>
  <c r="F10" i="4"/>
  <c r="B10" i="4"/>
  <c r="B9" i="4"/>
  <c r="G9" i="4" s="1"/>
  <c r="I8" i="4"/>
  <c r="H8" i="4"/>
  <c r="G8" i="4"/>
  <c r="F8" i="4"/>
  <c r="B8" i="4"/>
  <c r="B7" i="4"/>
  <c r="F7" i="4" s="1"/>
  <c r="B6" i="4"/>
  <c r="F6" i="4" s="1"/>
  <c r="B5" i="4"/>
  <c r="G5" i="4" s="1"/>
  <c r="H23" i="3"/>
  <c r="G23" i="3"/>
  <c r="F23" i="3"/>
  <c r="E23" i="3"/>
  <c r="D23" i="3"/>
  <c r="F15" i="2"/>
  <c r="E15" i="2"/>
  <c r="D15" i="2"/>
  <c r="C15" i="2"/>
  <c r="F9" i="2"/>
  <c r="E9" i="2"/>
  <c r="D9" i="2"/>
  <c r="C9" i="2"/>
  <c r="C29" i="2" s="1"/>
  <c r="B9" i="2"/>
  <c r="F8" i="2"/>
  <c r="F28" i="2" s="1"/>
  <c r="E8" i="2"/>
  <c r="E28" i="2" s="1"/>
  <c r="D8" i="2"/>
  <c r="D28" i="2" s="1"/>
  <c r="C8" i="2"/>
  <c r="C28" i="2" s="1"/>
  <c r="B8" i="2"/>
  <c r="F7" i="2"/>
  <c r="F10" i="2" s="1"/>
  <c r="E7" i="2"/>
  <c r="E10" i="2" s="1"/>
  <c r="D7" i="2"/>
  <c r="D10" i="2" s="1"/>
  <c r="C7" i="2"/>
  <c r="C10" i="2" s="1"/>
  <c r="B7" i="2"/>
  <c r="B10" i="2" s="1"/>
  <c r="E9" i="5" l="1"/>
  <c r="D9" i="5"/>
  <c r="F9" i="5"/>
  <c r="E30" i="2"/>
  <c r="E16" i="2"/>
  <c r="F10" i="5"/>
  <c r="E10" i="5"/>
  <c r="D10" i="5"/>
  <c r="G10" i="5" s="1"/>
  <c r="E11" i="5"/>
  <c r="D11" i="5"/>
  <c r="F11" i="5"/>
  <c r="E6" i="5"/>
  <c r="F6" i="5"/>
  <c r="D6" i="5"/>
  <c r="G6" i="5" s="1"/>
  <c r="E7" i="5"/>
  <c r="D7" i="5"/>
  <c r="F7" i="5"/>
  <c r="C16" i="2"/>
  <c r="C30" i="2"/>
  <c r="D16" i="2"/>
  <c r="D30" i="2"/>
  <c r="F30" i="2"/>
  <c r="F16" i="2"/>
  <c r="B22" i="2"/>
  <c r="F12" i="5"/>
  <c r="E12" i="5"/>
  <c r="D12" i="5"/>
  <c r="D13" i="5"/>
  <c r="E13" i="5"/>
  <c r="F13" i="5"/>
  <c r="F15" i="5"/>
  <c r="E15" i="5"/>
  <c r="D15" i="5"/>
  <c r="G15" i="5" s="1"/>
  <c r="B23" i="2"/>
  <c r="F16" i="5"/>
  <c r="D16" i="5"/>
  <c r="E16" i="5"/>
  <c r="D23" i="2"/>
  <c r="E23" i="2"/>
  <c r="E23" i="5"/>
  <c r="D23" i="5"/>
  <c r="F23" i="5"/>
  <c r="F24" i="5"/>
  <c r="E24" i="5"/>
  <c r="D24" i="5"/>
  <c r="G24" i="5" s="1"/>
  <c r="E28" i="5"/>
  <c r="F28" i="5"/>
  <c r="D28" i="5"/>
  <c r="G28" i="5" s="1"/>
  <c r="F29" i="5"/>
  <c r="E29" i="5"/>
  <c r="D29" i="5"/>
  <c r="G29" i="5" s="1"/>
  <c r="F17" i="5"/>
  <c r="E17" i="5"/>
  <c r="D17" i="5"/>
  <c r="F18" i="5"/>
  <c r="E18" i="5"/>
  <c r="D18" i="5"/>
  <c r="G18" i="5" s="1"/>
  <c r="F19" i="5"/>
  <c r="E19" i="5"/>
  <c r="D19" i="5"/>
  <c r="G19" i="5" s="1"/>
  <c r="F23" i="2"/>
  <c r="F20" i="5"/>
  <c r="E20" i="5"/>
  <c r="D20" i="5"/>
  <c r="G20" i="5" s="1"/>
  <c r="E21" i="5"/>
  <c r="D21" i="5"/>
  <c r="F21" i="5"/>
  <c r="F25" i="5"/>
  <c r="E25" i="5"/>
  <c r="D25" i="5"/>
  <c r="G25" i="5" s="1"/>
  <c r="F26" i="5"/>
  <c r="E26" i="5"/>
  <c r="D26" i="5"/>
  <c r="G26" i="5" s="1"/>
  <c r="D27" i="5"/>
  <c r="E27" i="5"/>
  <c r="F27" i="5"/>
  <c r="I6" i="4"/>
  <c r="F30" i="5"/>
  <c r="E30" i="5"/>
  <c r="D30" i="5"/>
  <c r="E22" i="2"/>
  <c r="F16" i="4"/>
  <c r="D14" i="5"/>
  <c r="H16" i="4"/>
  <c r="F26" i="4"/>
  <c r="F14" i="5"/>
  <c r="C23" i="2"/>
  <c r="H5" i="4"/>
  <c r="F11" i="4"/>
  <c r="I11" i="4" s="1"/>
  <c r="G26" i="4"/>
  <c r="D29" i="2"/>
  <c r="E29" i="2"/>
  <c r="F29" i="2"/>
  <c r="F21" i="2"/>
  <c r="G15" i="4"/>
  <c r="I15" i="4" s="1"/>
  <c r="B21" i="2"/>
  <c r="H15" i="4"/>
  <c r="F25" i="4"/>
  <c r="I25" i="4" s="1"/>
  <c r="C22" i="2"/>
  <c r="E21" i="2"/>
  <c r="H9" i="4"/>
  <c r="C21" i="2"/>
  <c r="F9" i="4"/>
  <c r="I9" i="4" s="1"/>
  <c r="G24" i="4"/>
  <c r="I24" i="4" s="1"/>
  <c r="E8" i="5"/>
  <c r="G8" i="5" s="1"/>
  <c r="E22" i="5"/>
  <c r="G22" i="5" s="1"/>
  <c r="D21" i="2"/>
  <c r="H24" i="4"/>
  <c r="F8" i="5"/>
  <c r="F22" i="5"/>
  <c r="D22" i="2"/>
  <c r="F22" i="2"/>
  <c r="F5" i="4"/>
  <c r="G11" i="4"/>
  <c r="F17" i="4"/>
  <c r="C27" i="2"/>
  <c r="G6" i="4"/>
  <c r="H17" i="4"/>
  <c r="D27" i="2"/>
  <c r="H6" i="4"/>
  <c r="F18" i="4"/>
  <c r="G7" i="4"/>
  <c r="I7" i="4" s="1"/>
  <c r="H18" i="4"/>
  <c r="H7" i="4"/>
  <c r="F13" i="4"/>
  <c r="F12" i="4"/>
  <c r="E27" i="2"/>
  <c r="G12" i="4"/>
  <c r="F27" i="2"/>
  <c r="G13" i="4"/>
  <c r="G27" i="5" l="1"/>
  <c r="I12" i="4"/>
  <c r="I13" i="4"/>
  <c r="G7" i="5"/>
  <c r="G23" i="5"/>
  <c r="I18" i="4"/>
  <c r="G11" i="5"/>
  <c r="G16" i="5"/>
  <c r="I5" i="4"/>
  <c r="I26" i="4"/>
  <c r="G14" i="5"/>
  <c r="G9" i="5"/>
  <c r="G21" i="5"/>
  <c r="G13" i="5"/>
  <c r="I17" i="4"/>
  <c r="I16" i="4"/>
  <c r="G17" i="5"/>
  <c r="G30" i="5"/>
  <c r="G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100-000001000000}">
      <text>
        <r>
          <rPr>
            <sz val="10"/>
            <rFont val="Arial"/>
            <family val="2"/>
          </rPr>
          <t>Census reference dates as stated by PSA (Table 1 of the 2024 POPCEN national press release; 2020 CPH regional press releases).</t>
        </r>
      </text>
    </comment>
    <comment ref="B13" authorId="0" shapeId="0" xr:uid="{00000000-0006-0000-0100-000002000000}">
      <text>
        <r>
          <rPr>
            <sz val="10"/>
            <rFont val="Arial"/>
            <family val="2"/>
          </rPr>
          <t>PSA's 2010 CPH press release gives the 2000 national population only as 76.51 million (rounded), so an exact check is not possible for 2000.</t>
        </r>
      </text>
    </comment>
  </commentList>
</comments>
</file>

<file path=xl/sharedStrings.xml><?xml version="1.0" encoding="utf-8"?>
<sst xmlns="http://schemas.openxmlformats.org/spreadsheetml/2006/main" count="405" uniqueCount="272">
  <si>
    <t>Population of the Philippines by island group (Luzon, Visayas, Mindanao), 2000–2024</t>
  </si>
  <si>
    <t>What this is</t>
  </si>
  <si>
    <t>Total population of the three island groups for every PSA census year from 2000 to the latest (2024), built by summing PSA's official regional census counts.</t>
  </si>
  <si>
    <t>Source</t>
  </si>
  <si>
    <t>Philippine Statistics Authority (PSA): 2000, 2010 and 2020 Census of Population and Housing; 2015 and 2024 Census of Population. No regional, international or modelled sources were used for the census figures.</t>
  </si>
  <si>
    <t>Years covered</t>
  </si>
  <si>
    <t>2000, 2010, 2015, 2020, 2024 (census reference dates: 1 May 2000, 1 May 2010, 1 Aug 2015, 1 May 2020, 1 Jul 2024). The 2007 Census of Population is NOT included: I did not retrieve its regional counts from a PSA source.</t>
  </si>
  <si>
    <t>Why island groups need summing</t>
  </si>
  <si>
    <t>PSA reports population by administrative region, not by island group. Each region was assigned wholly to one island group (see Regional_Census, column C).</t>
  </si>
  <si>
    <t>Island-group mapping</t>
  </si>
  <si>
    <t>Luzon: NCR, CAR, I, II, III, IV-A, MIMAROPA, V.   Visayas: VI, NIR (2024 only), VII, VIII.   Mindanao: IX, X, XI, XII, XIII, BARMM.</t>
  </si>
  <si>
    <t>Boundary changes</t>
  </si>
  <si>
    <t>2000–2020 values use the 2020 regional boundaries (17 regions). 2024 uses 2024 boundaries (18 regions: NIR re-created in 2024; Cotabato City and the Special Geographic Area moved from Region XII to BARMM). These shifts are within an island group, so island-group totals stay comparable.</t>
  </si>
  <si>
    <t>Quality checks</t>
  </si>
  <si>
    <t>Summed regional counts equal PSA's published national population (excluding Filipinos abroad) exactly for 2010, 2015, 2020 and 2024. For 2000, PSA's national figure is only available rounded (76.51 million); the regional sum (76,485,088) is ~0.03% lower. See Island_Group_Summary and Verification.</t>
  </si>
  <si>
    <t>Sheets</t>
  </si>
  <si>
    <t>Island_Group_Summary – headline table, shares and growth rates (formulas).  Regional_Census – PSA regional inputs with sources.  Verification – arithmetic behind derived values.  Annual_Interpolated_DERIVED – non-official annual estimates for modelling.  Sources – every URL and whether it was opened.</t>
  </si>
  <si>
    <t>Colour key</t>
  </si>
  <si>
    <t>Blue text = hard-coded value transcribed from PSA. Black = formula. Green = link to another sheet. Orange-shaded notes = boundary change to be aware of.</t>
  </si>
  <si>
    <t>Caveat for Mindanao comparisons</t>
  </si>
  <si>
    <t>Some sources (e.g., Wikipedia) quote other Mindanao totals because they define the island group differently (island vs. island group, inclusion of Sulu archipelago/Palawan). The figures here follow the region-based definition above.</t>
  </si>
  <si>
    <t>Prepared 24 September 2026 from PSA publications; see Sources sheet.</t>
  </si>
  <si>
    <t>Population of Luzon, Visayas and Mindanao – census years 2000 to 2024</t>
  </si>
  <si>
    <t>Island-group totals are formulas summing the PSA regional counts on the Regional_Census sheet. Source: Philippine Statistics Authority (PSA).</t>
  </si>
  <si>
    <t>Item</t>
  </si>
  <si>
    <t>2000</t>
  </si>
  <si>
    <t>2010</t>
  </si>
  <si>
    <t>2015</t>
  </si>
  <si>
    <t>2020</t>
  </si>
  <si>
    <t>2024</t>
  </si>
  <si>
    <t>Census reference date</t>
  </si>
  <si>
    <t>Population (persons)</t>
  </si>
  <si>
    <t>Luzon</t>
  </si>
  <si>
    <t>Visayas</t>
  </si>
  <si>
    <t>Mindanao</t>
  </si>
  <si>
    <t>Total (sum of 3 island groups)</t>
  </si>
  <si>
    <t>Check against PSA national totals</t>
  </si>
  <si>
    <t>PSA total population (incl. Filipinos in PH embassies/consulates abroad)</t>
  </si>
  <si>
    <t>Of which: Filipinos in PH embassies/consulates/missions abroad</t>
  </si>
  <si>
    <t>PSA population living in the 17/18 regions</t>
  </si>
  <si>
    <t>n/a</t>
  </si>
  <si>
    <t>Difference: island-group total minus PSA</t>
  </si>
  <si>
    <t>see note</t>
  </si>
  <si>
    <t>Note on 2000: PSA's 2010 CPH press release gives the 2000 national total only as 76.51 million (rounded). The regional sum here is 76,485,088, about 0.03% lower. I could not find the published exact 2000 national count to explain the gap; treat 2000 as accurate to roughly ±0.03%.</t>
  </si>
  <si>
    <t>Sources for rows 13–14: 2024 POPCEN national press release, Table 1 and notes (https://psa.gov.ph/system/files/phcd/1_2024%20POPCEN%20Press%20Release_Declaration%20of%20Count_Revised_ONS-signed_0.pdf).</t>
  </si>
  <si>
    <t>Share of national population</t>
  </si>
  <si>
    <t>Average annual growth rate since previous census</t>
  </si>
  <si>
    <t>Formula: (P_t / P_prev)^(1 / years between reference dates) − 1, same geometric method PSA uses for its PGR; years = days/365.25.</t>
  </si>
  <si>
    <t>–</t>
  </si>
  <si>
    <t>Total</t>
  </si>
  <si>
    <t>Cross-check: PSA publishes national PGRs of 1.90% (2000–10), 1.72% (2010–15), 1.63% (2015–20) and 0.80% (2020–24).</t>
  </si>
  <si>
    <t>Philippines – Population by administrative region, census years 2000–2024 (PSA)</t>
  </si>
  <si>
    <t>Blue = hard-coded values transcribed from PSA publications. Counts are total population at each census reference date.</t>
  </si>
  <si>
    <t>Code</t>
  </si>
  <si>
    <t>Region</t>
  </si>
  <si>
    <t>Island group</t>
  </si>
  <si>
    <t>2000
(1 May 2000)</t>
  </si>
  <si>
    <t>2010
(1 May 2010)</t>
  </si>
  <si>
    <t>2015
(1 Aug 2015)</t>
  </si>
  <si>
    <t>2020
(1 May 2020)</t>
  </si>
  <si>
    <t>2024
(1 Jul 2024)</t>
  </si>
  <si>
    <t>How the 2000–2020 values were obtained / boundary notes</t>
  </si>
  <si>
    <t>Source URL – 2000 to 2020 values</t>
  </si>
  <si>
    <t>Source URL – 2024 value</t>
  </si>
  <si>
    <t>NCR</t>
  </si>
  <si>
    <t>National Capital Region</t>
  </si>
  <si>
    <t>2020 count as published; 2000/2010/2015 = 2020 count minus the exact increases stated in the PSA text (see Verification sheet).</t>
  </si>
  <si>
    <t>https://psa.gov.ph/statistics/population-and-housing/node/165009</t>
  </si>
  <si>
    <t>https://psa.gov.ph/content/highlights-national-capital-region-ncr-population-2024-census-population-2024-popcen</t>
  </si>
  <si>
    <t>CAR</t>
  </si>
  <si>
    <t>Cordillera Administrative Region</t>
  </si>
  <si>
    <t>https://psa.gov.ph/content/highlights-cordillera-administrative-region-car-population-2020-census-population-and</t>
  </si>
  <si>
    <t>https://psa.gov.ph/statistics/population-and-housing/index</t>
  </si>
  <si>
    <t>I</t>
  </si>
  <si>
    <t>Region I – Ilocos</t>
  </si>
  <si>
    <t>https://psa.gov.ph/content/highlights-region-i-ilocos-region-population-2020-census-population-and-housing-2020-cph</t>
  </si>
  <si>
    <t>https://psa.gov.ph/content/highlights-region-i-ilocos-region-population-2024-census-population-2024-popcen</t>
  </si>
  <si>
    <t>II</t>
  </si>
  <si>
    <t>Region II – Cagayan Valley</t>
  </si>
  <si>
    <t>https://psa.gov.ph/content/highlights-region-ii-cagayan-valley-population-2020-census-population-and-housing-2020-cph</t>
  </si>
  <si>
    <t>https://psa.gov.ph/content/highlights-region-ii-cagayan-valley-population-2024-census-population-2024-popcen</t>
  </si>
  <si>
    <t>III</t>
  </si>
  <si>
    <t>Region III – Central Luzon</t>
  </si>
  <si>
    <t>https://psa.gov.ph/content/highlights-region-iii-central-luzon-population-2020-census-population-and-housing-2020-cph</t>
  </si>
  <si>
    <t>IV-A</t>
  </si>
  <si>
    <t>Region IV-A – CALABARZON</t>
  </si>
  <si>
    <t>Exact counts from Table 1 of the PSA RSSO IV-A 2020 highlights page.</t>
  </si>
  <si>
    <t>https://rsso04a.psa.gov.ph/content/highlights-region-iv-calabarzon-population-2020-census-population-and-housing-2020-cph</t>
  </si>
  <si>
    <t>https://psa.gov.ph/system/files/phcd/2024%20POPCEN%20Press%20Release_Region%20IV-A_ONS-signed.pdf</t>
  </si>
  <si>
    <t>MIMAROPA</t>
  </si>
  <si>
    <t>MIMAROPA Region</t>
  </si>
  <si>
    <t>https://psa.gov.ph/statistics/population-and-housing/node/165014</t>
  </si>
  <si>
    <t>V</t>
  </si>
  <si>
    <t>Region V – Bicol</t>
  </si>
  <si>
    <t>https://psa.gov.ph/content/highlights-region-v-bicol-region-population-2020-census-population-and-housing-2020-cph</t>
  </si>
  <si>
    <t>https://psa.gov.ph/content/highlights-region-v-bicol-region-population-2024-census-population-2024-popcen</t>
  </si>
  <si>
    <t>VI</t>
  </si>
  <si>
    <t>Region VI – Western Visayas</t>
  </si>
  <si>
    <t>Exact counts from Table 1 of the PSA press release (PDF). 2000–2020 figures INCLUDE Negros Occidental &amp; Bacolod (2020 boundaries). 2024 figure EXCLUDES them (now in NIR).</t>
  </si>
  <si>
    <t>https://psa.gov.ph/system/files/phcd/2022-12/9_Press%2520Release_2020%2520CPH_RSSO%2520VI_signed.pdf</t>
  </si>
  <si>
    <t>https://psa.gov.ph/content/highlights-negros-island-region-nir-population-2024-census-population-2024-popcen</t>
  </si>
  <si>
    <t>NIR</t>
  </si>
  <si>
    <t>Negros Island Region</t>
  </si>
  <si>
    <t>Re-created by RA 12000 (June 2024). No separate 2000–2020 value here: its areas are counted inside Regions VI and VII for those years.</t>
  </si>
  <si>
    <t>n/a (region did not exist as a separate unit in these censuses)</t>
  </si>
  <si>
    <t>VII</t>
  </si>
  <si>
    <t>Region VII – Central Visayas</t>
  </si>
  <si>
    <t>Exact counts from Table 1 of the PSA press release (PDF). 2000–2020 figures INCLUDE Negros Oriental &amp; Siquijor (2020 boundaries). 2024 figure EXCLUDES them (now in NIR).</t>
  </si>
  <si>
    <t>https://psa.gov.ph/system/files/phcd/2022-12/10_Press%2520Release_2020%2520CPH_RSSO%2520VII_signed.pdf</t>
  </si>
  <si>
    <t>https://psa.gov.ph/content/highlights-region-vii-central-visayas-population-2024-census-population-2024-popcen</t>
  </si>
  <si>
    <t>VIII</t>
  </si>
  <si>
    <t>Region VIII – Eastern Visayas</t>
  </si>
  <si>
    <t>https://psa.gov.ph/content/highlights-region-viii-eastern-visayas-population-2020-census-population-and-housing-2020</t>
  </si>
  <si>
    <t>https://psa.gov.ph/content/highlights-region-viii-eastern-visayas-population-2024-census-population-2024-popcen</t>
  </si>
  <si>
    <t>IX</t>
  </si>
  <si>
    <t>Region IX – Zamboanga Peninsula</t>
  </si>
  <si>
    <t>https://psa.gov.ph/content/highlights-region-ix-zamboanga-peninsula-population-2020-census-population-and-housing-2020</t>
  </si>
  <si>
    <t>https://psa.gov.ph/content/highlights-region-ix-zamboanga-peninsula-population-2024-census-population-2024-popcen</t>
  </si>
  <si>
    <t>X</t>
  </si>
  <si>
    <t>Region X – Northern Mindanao</t>
  </si>
  <si>
    <t>https://psa.gov.ph/content/highlights-region-x-northern-mindanao-population-2020-census-population-and-housing-2020</t>
  </si>
  <si>
    <t>XI</t>
  </si>
  <si>
    <t>Region XI – Davao</t>
  </si>
  <si>
    <t>https://psa.gov.ph/content/highlights-region-xi-davao-region-population-2020-census-population-and-housing-2020-cph</t>
  </si>
  <si>
    <t>XII</t>
  </si>
  <si>
    <t>Region XII – SOCCSKSARGEN</t>
  </si>
  <si>
    <t>2020 count as published; 2000/2010/2015 = 2020 count minus the exact increases stated in the PSA text (see Verification sheet). 2000–2020 include Cotabato City (and the 63 barangays now forming BARMM's Special Geographic Area); the 2024 figure excludes them (now in BARMM).</t>
  </si>
  <si>
    <t>https://psa.gov.ph/content/highlights-region-xii-soccsksargen-population-2020-census-population-and-housing-2020-cph</t>
  </si>
  <si>
    <t>https://psa.gov.ph/content/highlights-region-xii-soccsksargen-population-2024-census-population-2024-popcen</t>
  </si>
  <si>
    <t>XIII</t>
  </si>
  <si>
    <t>Region XIII – Caraga</t>
  </si>
  <si>
    <t>https://psa.gov.ph/content/highlights-region-xiii-caraga-population-2020-census-population-and-housing-2020-cph</t>
  </si>
  <si>
    <t>BARMM</t>
  </si>
  <si>
    <t>Bangsamoro Autonomous Region in Muslim Mindanao</t>
  </si>
  <si>
    <t>Exact counts from Table 1 of the PSA press release (PDF). 2024 figure includes Cotabato City and the Special Geographic Area.</t>
  </si>
  <si>
    <t>https://psa.gov.ph/system/files/phcd/2022-12/17_Press%2520Release_2020-CPH_RSSO_BARMM_signed.pdf</t>
  </si>
  <si>
    <t>Sum of regions</t>
  </si>
  <si>
    <t>Notes</t>
  </si>
  <si>
    <t>• 2000–2020 values are on the 2020 administrative boundaries used in PSA's 2020 CPH regional releases (17 regions). 2024 values are on 2024 boundaries (18 regions, with NIR).</t>
  </si>
  <si>
    <t>• Boundary changes between 2020 and 2024 (NIR creation; Cotabato City/SGA to BARMM) move people only WITHIN the Visayas or WITHIN Mindanao, so island-group totals remain comparable across all years.</t>
  </si>
  <si>
    <t>• Island-group assignment is by whole region: Palawan, Mindoro, Marinduque, Romblon (MIMAROPA) and Masbate (Region V) are counted in Luzon; Sulu, Tawi-Tawi and Basilan in Mindanao.</t>
  </si>
  <si>
    <t>Verification of derived regional values</t>
  </si>
  <si>
    <t>Most PSA 2020 regional highlight pages state the 2020 count and the EXACT increase versus 2015, 2010 and 2000 in the text (the tables themselves are images). Earlier-year counts were derived as 2020 count minus the stated increase. This sheet reproduces that arithmetic.</t>
  </si>
  <si>
    <t>2020 count (PSA)</t>
  </si>
  <si>
    <t>Stated increase vs 2015</t>
  </si>
  <si>
    <t>Stated increase vs 2010</t>
  </si>
  <si>
    <t>Stated increase vs 2000</t>
  </si>
  <si>
    <t>Derived 2015</t>
  </si>
  <si>
    <t>Derived 2010</t>
  </si>
  <si>
    <t>Derived 2000</t>
  </si>
  <si>
    <t>Matches Regional_Census?</t>
  </si>
  <si>
    <t>Regions VI, VII, IV-A and BARMM: exact values were read directly from the PSA Table 1 text (PDF / RSSO page), so no derivation was needed.</t>
  </si>
  <si>
    <t>Independent cross-check using the 2024 POPCEN regional releases (regions with unchanged boundaries)</t>
  </si>
  <si>
    <t>2024 count (PSA)</t>
  </si>
  <si>
    <t>Stated change vs 2020</t>
  </si>
  <si>
    <t>Stated change vs 2015</t>
  </si>
  <si>
    <t>Stated change vs 2010</t>
  </si>
  <si>
    <t>Implied 2020</t>
  </si>
  <si>
    <t>Implied 2015</t>
  </si>
  <si>
    <t>Implied 2010</t>
  </si>
  <si>
    <t>Matches 2020 CPH values?</t>
  </si>
  <si>
    <t>Region V's 2024 population is LOWER than 2020 (PSA: 'lower by 17,739'), hence the negative change.</t>
  </si>
  <si>
    <t>Region IV-A: the 2024 press release PDF Table 1 lists 2010 = 12,609,803; 2015 = 14,414,774; 2020 = 16,195,042, identical to the 2020 CPH values.</t>
  </si>
  <si>
    <t>DERIVED ESTIMATES – NOT OFFICIAL PSA STATISTICS</t>
  </si>
  <si>
    <t>PSA publishes population counts only for census years. For modelling convenience, this sheet estimates mid-year (1 July) population for every year by geometric (constant-growth) interpolation between the two census dates that bracket each year. The census anchors come from the Island_Group_Summary sheet. Delete this sheet if you want to use only published figures.</t>
  </si>
  <si>
    <t>Formula: P(d) = P0 × (P1/P0)^((d − d0)/(d1 − d0)), where d0/d1 are the bracketing census reference dates.</t>
  </si>
  <si>
    <t>Year</t>
  </si>
  <si>
    <t>Estimate date</t>
  </si>
  <si>
    <t>Census interval index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</si>
  <si>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</si>
  <si>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</si>
  <si>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</si>
  <si>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</si>
  <si>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</si>
  <si>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</si>
  <si>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</si>
  <si>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</si>
  <si>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</si>
  <si>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</si>
  <si>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</si>
  <si>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</si>
  <si>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</si>
  <si>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2016</t>
  </si>
  <si>
    <t>2017</t>
  </si>
  <si>
    <t>2018</t>
  </si>
  <si>
    <t>2019</t>
  </si>
  <si>
    <t>2021</t>
  </si>
  <si>
    <t>2022</t>
  </si>
  <si>
    <t>2023</t>
  </si>
  <si>
    <t>2024 row (1 Jul 2024) equals the census count exactly, because it is the census reference date. No values are extrapolated beyond 1 July 2024.</t>
  </si>
  <si>
    <t>Sources and URL accessibility check (checked 24 September 2026)</t>
  </si>
  <si>
    <t>All data are from the Philippine Statistics Authority (PSA), the national statistical office (priority 01: local government source). 'Opened directly' = page/PDF fetched and read. 'Search-indexed' = page returned by web search with the quoted figures in the snippet, but not opened individually.</t>
  </si>
  <si>
    <t>#</t>
  </si>
  <si>
    <t>Publication</t>
  </si>
  <si>
    <t>Used for</t>
  </si>
  <si>
    <t>URL</t>
  </si>
  <si>
    <t>Accessibility</t>
  </si>
  <si>
    <t>PSA – 2024 POPCEN Population Counts Declared Official by the President (Ref. 2025-258, 17 Jul 2025)</t>
  </si>
  <si>
    <t>National totals 2010/2015/2020/2024; counts of Filipinos abroad; census dates</t>
  </si>
  <si>
    <t>https://psa.gov.ph/content/2024-census-population-popcen-population-counts-declared-official-president</t>
  </si>
  <si>
    <t>Opened directly</t>
  </si>
  <si>
    <t>PSA – same release, press release PDF</t>
  </si>
  <si>
    <t>Table 1 national totals and footnotes</t>
  </si>
  <si>
    <t>https://psa.gov.ph/system/files/phcd/1_2024%20POPCEN%20Press%20Release_Declaration%20of%20Count_Revised_ONS-signed_0.pdf</t>
  </si>
  <si>
    <t>PSA – Population and Housing latest-releases listing</t>
  </si>
  <si>
    <t>2024 counts for CAR, III, MIMAROPA, X, XI, XIII, BARMM (release summaries)</t>
  </si>
  <si>
    <t>Search-indexed</t>
  </si>
  <si>
    <t>PSA – 2024 POPCEN Highlights, NCR</t>
  </si>
  <si>
    <t>NCR 2024</t>
  </si>
  <si>
    <t>PSA – 2024 POPCEN Highlights, Region I</t>
  </si>
  <si>
    <t>Region I 2024 + cross-check</t>
  </si>
  <si>
    <t>PSA – 2024 POPCEN Highlights, Region II</t>
  </si>
  <si>
    <t>Region II 2024 + cross-check</t>
  </si>
  <si>
    <t>PSA – 2024 POPCEN Highlights, Region IV-A (press release PDF)</t>
  </si>
  <si>
    <t>IV-A 2024 + Table 1 (2010–2024)</t>
  </si>
  <si>
    <t>PSA – 2024 POPCEN Highlights, Region V</t>
  </si>
  <si>
    <t>Region V 2024 + cross-check</t>
  </si>
  <si>
    <t>PSA – 2024 POPCEN Highlights, Negros Island Region</t>
  </si>
  <si>
    <t>NIR 2024; Region VI 2024 (shown on same page)</t>
  </si>
  <si>
    <t>PSA – 2024 POPCEN Highlights, Region VII</t>
  </si>
  <si>
    <t>Region VII 2024</t>
  </si>
  <si>
    <t>PSA – 2024 POPCEN Highlights, Region VIII</t>
  </si>
  <si>
    <t>Region VIII 2024 + cross-check</t>
  </si>
  <si>
    <t>PSA – 2024 POPCEN Highlights, Region IX</t>
  </si>
  <si>
    <t>Region IX 2024</t>
  </si>
  <si>
    <t>PSA – 2024 POPCEN Highlights, Region XII</t>
  </si>
  <si>
    <t>Region XII 2024</t>
  </si>
  <si>
    <t>PSA – 2020 CPH Population Counts Declared Official by the President (Ref. 2021-251)</t>
  </si>
  <si>
    <t>2020 national total; context</t>
  </si>
  <si>
    <t>https://psa.gov.ph/content/2020-census-population-and-housing-2020-cph-population-counts-declared-official-president</t>
  </si>
  <si>
    <t>PSA – Highlights of the Population Density, 2020 CPH</t>
  </si>
  <si>
    <t>2020 population excl. Filipinos abroad (109,033,245)</t>
  </si>
  <si>
    <t>https://psa.gov.ph/content/highlights-population-density-philippines-2020-census-population-and-housing-2020-cph</t>
  </si>
  <si>
    <t>PSA – 2010 CPH reveals Philippine population at 92.34 million (Ref. 2012-027)</t>
  </si>
  <si>
    <t>2000 national total (76.51 million, rounded)</t>
  </si>
  <si>
    <t>https://psa.gov.ph/content/2010-census-population-and-housing-reveals-philippine-population-9234-million</t>
  </si>
  <si>
    <t>PSA – 2020 CPH Highlights, NCR</t>
  </si>
  <si>
    <t>NCR 2000/2010/2015/2020</t>
  </si>
  <si>
    <t>PSA – 2020 CPH Highlights, CAR</t>
  </si>
  <si>
    <t>CAR 2000–2020</t>
  </si>
  <si>
    <t>PSA – 2020 CPH Highlights, Region I</t>
  </si>
  <si>
    <t>Region I 2000–2020</t>
  </si>
  <si>
    <t>PSA – 2020 CPH Highlights, Region II</t>
  </si>
  <si>
    <t>Region II 2000–2020</t>
  </si>
  <si>
    <t>PSA – 2020 CPH Highlights, Region III</t>
  </si>
  <si>
    <t>Region III 2000–2020</t>
  </si>
  <si>
    <t>PSA RSSO IV-A – 2020 CPH Highlights, CALABARZON</t>
  </si>
  <si>
    <t>IV-A 2000–2020 (Table 1 as text)</t>
  </si>
  <si>
    <t>PSA – 2020 CPH Highlights, MIMAROPA</t>
  </si>
  <si>
    <t>MIMAROPA 2000–2020</t>
  </si>
  <si>
    <t>PSA – 2020 CPH Highlights, Region V</t>
  </si>
  <si>
    <t>Region V 2000–2020</t>
  </si>
  <si>
    <t>PSA – 2020 CPH Highlights, Region VI (press release PDF)</t>
  </si>
  <si>
    <t>Region VI 2000–2020 (Table 1)</t>
  </si>
  <si>
    <t>PSA – 2020 CPH Highlights, Region VII (press release PDF)</t>
  </si>
  <si>
    <t>Region VII 2000–2020 (Table 1)</t>
  </si>
  <si>
    <t>PSA – 2020 CPH Highlights, Region VIII</t>
  </si>
  <si>
    <t>Region VIII 2000–2020</t>
  </si>
  <si>
    <t>PSA – 2020 CPH Highlights, Region IX</t>
  </si>
  <si>
    <t>Region IX 2000–2020</t>
  </si>
  <si>
    <t>PSA – 2020 CPH Highlights, Region X</t>
  </si>
  <si>
    <t>Region X 2000–2020</t>
  </si>
  <si>
    <t>PSA – 2020 CPH Highlights, Region XI</t>
  </si>
  <si>
    <t>Region XI 2000–2020</t>
  </si>
  <si>
    <t>PSA – 2020 CPH Highlights, Region XII</t>
  </si>
  <si>
    <t>Region XII 2000–2020</t>
  </si>
  <si>
    <t>PSA – 2020 CPH Highlights, Region XIII</t>
  </si>
  <si>
    <t>Caraga 2000–2020</t>
  </si>
  <si>
    <t>PSA – 2020 CPH Highlights, BARMM (press release PDF)</t>
  </si>
  <si>
    <t>BARMM 2000–2020 (Table 1)</t>
  </si>
  <si>
    <t>Not used: PSA's Table A/B Excel attachments (the machine-readable versions) could not be opened in this environment. Downloading Table A from the 2020 CPH release page gives all regions for 2000–2020 in one file and is a good independent check.</t>
  </si>
  <si>
    <t>Average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</si>
</sst>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;\(#,##0\);\-"/>
    <numFmt numFmtId="166" formatCode="0.00%;\(0.00%\);\-"/>
  </numFmts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i/>
      <sz val="10"/>
      <color rgb="FFC00000"/>
      <name val="Arial"/>
      <charset val="1"/>
    </font>
    <font>
      <sz val="10"/>
      <name val="Arial"/>
      <family val="2"/>
    </font>
    <font>
      <u/>
      <sz val="9"/>
      <color rgb="FF0563C1"/>
      <name val="Arial"/>
      <charset val="1"/>
    </font>
    <font>
      <sz val="10"/>
      <color rgb="FF008000"/>
      <name val="Arial"/>
      <charset val="1"/>
    </font>
    <font>
      <b/>
      <sz val="14"/>
      <color rgb="FFC00000"/>
      <name val="Arial"/>
      <charset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6" fillId="0" borderId="1" xfId="0" applyNumberFormat="1" applyFont="1" applyBorder="1"/>
    <xf numFmtId="0" fontId="7" fillId="0" borderId="0" xfId="0" applyFont="1"/>
    <xf numFmtId="165" fontId="3" fillId="0" borderId="1" xfId="0" applyNumberFormat="1" applyFont="1" applyBorder="1"/>
    <xf numFmtId="165" fontId="2" fillId="0" borderId="1" xfId="0" applyNumberFormat="1" applyFont="1" applyBorder="1"/>
    <xf numFmtId="0" fontId="3" fillId="0" borderId="0" xfId="0" applyFont="1"/>
    <xf numFmtId="165" fontId="6" fillId="0" borderId="1" xfId="0" applyNumberFormat="1" applyFont="1" applyBorder="1"/>
    <xf numFmtId="0" fontId="8" fillId="0" borderId="1" xfId="0" applyFon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10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65" fontId="11" fillId="0" borderId="1" xfId="0" applyNumberFormat="1" applyFont="1" applyBorder="1"/>
    <xf numFmtId="165" fontId="0" fillId="0" borderId="1" xfId="0" applyNumberFormat="1" applyBorder="1"/>
    <xf numFmtId="0" fontId="0" fillId="0" borderId="1" xfId="0" applyBorder="1"/>
    <xf numFmtId="0" fontId="12" fillId="0" borderId="0" xfId="0" applyFont="1"/>
    <xf numFmtId="164" fontId="0" fillId="0" borderId="1" xfId="0" applyNumberFormat="1" applyBorder="1"/>
    <xf numFmtId="166" fontId="0" fillId="0" borderId="0" xfId="0" applyNumberForma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sa.gov.ph/statistics/population-and-housing/node/165014" TargetMode="External"/><Relationship Id="rId18" Type="http://schemas.openxmlformats.org/officeDocument/2006/relationships/hyperlink" Target="https://psa.gov.ph/content/highlights-negros-island-region-nir-population-2024-census-population-2024-popcen" TargetMode="External"/><Relationship Id="rId26" Type="http://schemas.openxmlformats.org/officeDocument/2006/relationships/hyperlink" Target="https://psa.gov.ph/content/highlights-region-x-northern-mindanao-population-2020-census-population-and-housing-2020" TargetMode="External"/><Relationship Id="rId3" Type="http://schemas.openxmlformats.org/officeDocument/2006/relationships/hyperlink" Target="https://psa.gov.ph/content/highlights-cordillera-administrative-region-car-population-2020-census-population-and" TargetMode="External"/><Relationship Id="rId21" Type="http://schemas.openxmlformats.org/officeDocument/2006/relationships/hyperlink" Target="https://psa.gov.ph/content/highlights-region-vii-central-visayas-population-2024-census-population-2024-popcen" TargetMode="External"/><Relationship Id="rId34" Type="http://schemas.openxmlformats.org/officeDocument/2006/relationships/hyperlink" Target="https://psa.gov.ph/system/files/phcd/2022-12/17_Press%2520Release_2020-CPH_RSSO_BARMM_signed.pdf" TargetMode="External"/><Relationship Id="rId7" Type="http://schemas.openxmlformats.org/officeDocument/2006/relationships/hyperlink" Target="https://psa.gov.ph/content/highlights-region-ii-cagayan-valley-population-2020-census-population-and-housing-2020-cph" TargetMode="External"/><Relationship Id="rId12" Type="http://schemas.openxmlformats.org/officeDocument/2006/relationships/hyperlink" Target="https://psa.gov.ph/system/files/phcd/2024%20POPCEN%20Press%20Release_Region%20IV-A_ONS-signed.pdf" TargetMode="External"/><Relationship Id="rId17" Type="http://schemas.openxmlformats.org/officeDocument/2006/relationships/hyperlink" Target="https://psa.gov.ph/system/files/phcd/2022-12/9_Press%2520Release_2020%2520CPH_RSSO%2520VI_signed.pdf" TargetMode="External"/><Relationship Id="rId25" Type="http://schemas.openxmlformats.org/officeDocument/2006/relationships/hyperlink" Target="https://psa.gov.ph/content/highlights-region-ix-zamboanga-peninsula-population-2024-census-population-2024-popcen" TargetMode="External"/><Relationship Id="rId33" Type="http://schemas.openxmlformats.org/officeDocument/2006/relationships/hyperlink" Target="https://psa.gov.ph/statistics/population-and-housing/index" TargetMode="External"/><Relationship Id="rId2" Type="http://schemas.openxmlformats.org/officeDocument/2006/relationships/hyperlink" Target="https://psa.gov.ph/content/highlights-national-capital-region-ncr-population-2024-census-population-2024-popcen" TargetMode="External"/><Relationship Id="rId16" Type="http://schemas.openxmlformats.org/officeDocument/2006/relationships/hyperlink" Target="https://psa.gov.ph/content/highlights-region-v-bicol-region-population-2024-census-population-2024-popcen" TargetMode="External"/><Relationship Id="rId20" Type="http://schemas.openxmlformats.org/officeDocument/2006/relationships/hyperlink" Target="https://psa.gov.ph/system/files/phcd/2022-12/10_Press%2520Release_2020%2520CPH_RSSO%2520VII_signed.pdf" TargetMode="External"/><Relationship Id="rId29" Type="http://schemas.openxmlformats.org/officeDocument/2006/relationships/hyperlink" Target="https://psa.gov.ph/statistics/population-and-housing/index" TargetMode="External"/><Relationship Id="rId1" Type="http://schemas.openxmlformats.org/officeDocument/2006/relationships/hyperlink" Target="https://psa.gov.ph/statistics/population-and-housing/node/165009" TargetMode="External"/><Relationship Id="rId6" Type="http://schemas.openxmlformats.org/officeDocument/2006/relationships/hyperlink" Target="https://psa.gov.ph/content/highlights-region-i-ilocos-region-population-2024-census-population-2024-popcen" TargetMode="External"/><Relationship Id="rId11" Type="http://schemas.openxmlformats.org/officeDocument/2006/relationships/hyperlink" Target="https://rsso04a.psa.gov.ph/content/highlights-region-iv-calabarzon-population-2020-census-population-and-housing-2020-cph" TargetMode="External"/><Relationship Id="rId24" Type="http://schemas.openxmlformats.org/officeDocument/2006/relationships/hyperlink" Target="https://psa.gov.ph/content/highlights-region-ix-zamboanga-peninsula-population-2020-census-population-and-housing-2020" TargetMode="External"/><Relationship Id="rId32" Type="http://schemas.openxmlformats.org/officeDocument/2006/relationships/hyperlink" Target="https://psa.gov.ph/content/highlights-region-xiii-caraga-population-2020-census-population-and-housing-2020-cph" TargetMode="External"/><Relationship Id="rId5" Type="http://schemas.openxmlformats.org/officeDocument/2006/relationships/hyperlink" Target="https://psa.gov.ph/content/highlights-region-i-ilocos-region-population-2020-census-population-and-housing-2020-cph" TargetMode="External"/><Relationship Id="rId15" Type="http://schemas.openxmlformats.org/officeDocument/2006/relationships/hyperlink" Target="https://psa.gov.ph/content/highlights-region-v-bicol-region-population-2020-census-population-and-housing-2020-cph" TargetMode="External"/><Relationship Id="rId23" Type="http://schemas.openxmlformats.org/officeDocument/2006/relationships/hyperlink" Target="https://psa.gov.ph/content/highlights-region-viii-eastern-visayas-population-2024-census-population-2024-popcen" TargetMode="External"/><Relationship Id="rId28" Type="http://schemas.openxmlformats.org/officeDocument/2006/relationships/hyperlink" Target="https://psa.gov.ph/content/highlights-region-xi-davao-region-population-2020-census-population-and-housing-2020-cph" TargetMode="External"/><Relationship Id="rId10" Type="http://schemas.openxmlformats.org/officeDocument/2006/relationships/hyperlink" Target="https://psa.gov.ph/statistics/population-and-housing/index" TargetMode="External"/><Relationship Id="rId19" Type="http://schemas.openxmlformats.org/officeDocument/2006/relationships/hyperlink" Target="https://psa.gov.ph/content/highlights-negros-island-region-nir-population-2024-census-population-2024-popcen" TargetMode="External"/><Relationship Id="rId31" Type="http://schemas.openxmlformats.org/officeDocument/2006/relationships/hyperlink" Target="https://psa.gov.ph/content/highlights-region-xii-soccsksargen-population-2024-census-population-2024-popcen" TargetMode="External"/><Relationship Id="rId4" Type="http://schemas.openxmlformats.org/officeDocument/2006/relationships/hyperlink" Target="https://psa.gov.ph/statistics/population-and-housing/index" TargetMode="External"/><Relationship Id="rId9" Type="http://schemas.openxmlformats.org/officeDocument/2006/relationships/hyperlink" Target="https://psa.gov.ph/content/highlights-region-iii-central-luzon-population-2020-census-population-and-housing-2020-cph" TargetMode="External"/><Relationship Id="rId14" Type="http://schemas.openxmlformats.org/officeDocument/2006/relationships/hyperlink" Target="https://psa.gov.ph/statistics/population-and-housing/index" TargetMode="External"/><Relationship Id="rId22" Type="http://schemas.openxmlformats.org/officeDocument/2006/relationships/hyperlink" Target="https://psa.gov.ph/content/highlights-region-viii-eastern-visayas-population-2020-census-population-and-housing-2020" TargetMode="External"/><Relationship Id="rId27" Type="http://schemas.openxmlformats.org/officeDocument/2006/relationships/hyperlink" Target="https://psa.gov.ph/statistics/population-and-housing/index" TargetMode="External"/><Relationship Id="rId30" Type="http://schemas.openxmlformats.org/officeDocument/2006/relationships/hyperlink" Target="https://psa.gov.ph/content/highlights-region-xii-soccsksargen-population-2020-census-population-and-housing-2020-cph" TargetMode="External"/><Relationship Id="rId35" Type="http://schemas.openxmlformats.org/officeDocument/2006/relationships/hyperlink" Target="https://psa.gov.ph/statistics/population-and-housing/index" TargetMode="External"/><Relationship Id="rId8" Type="http://schemas.openxmlformats.org/officeDocument/2006/relationships/hyperlink" Target="https://psa.gov.ph/content/highlights-region-ii-cagayan-valley-population-2024-census-population-2024-popcen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psa.gov.ph/content/highlights-region-xii-soccsksargen-population-2024-census-population-2024-popcen" TargetMode="External"/><Relationship Id="rId18" Type="http://schemas.openxmlformats.org/officeDocument/2006/relationships/hyperlink" Target="https://psa.gov.ph/content/highlights-cordillera-administrative-region-car-population-2020-census-population-and" TargetMode="External"/><Relationship Id="rId26" Type="http://schemas.openxmlformats.org/officeDocument/2006/relationships/hyperlink" Target="https://psa.gov.ph/system/files/phcd/2022-12/10_Press%2520Release_2020%2520CPH_RSSO%2520VII_signed.pdf" TargetMode="External"/><Relationship Id="rId3" Type="http://schemas.openxmlformats.org/officeDocument/2006/relationships/hyperlink" Target="https://psa.gov.ph/statistics/population-and-housing/index" TargetMode="External"/><Relationship Id="rId21" Type="http://schemas.openxmlformats.org/officeDocument/2006/relationships/hyperlink" Target="https://psa.gov.ph/content/highlights-region-iii-central-luzon-population-2020-census-population-and-housing-2020-cph" TargetMode="External"/><Relationship Id="rId7" Type="http://schemas.openxmlformats.org/officeDocument/2006/relationships/hyperlink" Target="https://psa.gov.ph/system/files/phcd/2024%20POPCEN%20Press%20Release_Region%20IV-A_ONS-signed.pdf" TargetMode="External"/><Relationship Id="rId12" Type="http://schemas.openxmlformats.org/officeDocument/2006/relationships/hyperlink" Target="https://psa.gov.ph/content/highlights-region-ix-zamboanga-peninsula-population-2024-census-population-2024-popcen" TargetMode="External"/><Relationship Id="rId17" Type="http://schemas.openxmlformats.org/officeDocument/2006/relationships/hyperlink" Target="https://psa.gov.ph/statistics/population-and-housing/node/165009" TargetMode="External"/><Relationship Id="rId25" Type="http://schemas.openxmlformats.org/officeDocument/2006/relationships/hyperlink" Target="https://psa.gov.ph/system/files/phcd/2022-12/9_Press%2520Release_2020%2520CPH_RSSO%2520VI_signed.pdf" TargetMode="External"/><Relationship Id="rId33" Type="http://schemas.openxmlformats.org/officeDocument/2006/relationships/hyperlink" Target="https://psa.gov.ph/system/files/phcd/2022-12/17_Press%2520Release_2020-CPH_RSSO_BARMM_signed.pdf" TargetMode="External"/><Relationship Id="rId2" Type="http://schemas.openxmlformats.org/officeDocument/2006/relationships/hyperlink" Target="https://psa.gov.ph/system/files/phcd/1_2024%20POPCEN%20Press%20Release_Declaration%20of%20Count_Revised_ONS-signed_0.pdf" TargetMode="External"/><Relationship Id="rId16" Type="http://schemas.openxmlformats.org/officeDocument/2006/relationships/hyperlink" Target="https://psa.gov.ph/content/2010-census-population-and-housing-reveals-philippine-population-9234-million" TargetMode="External"/><Relationship Id="rId20" Type="http://schemas.openxmlformats.org/officeDocument/2006/relationships/hyperlink" Target="https://psa.gov.ph/content/highlights-region-ii-cagayan-valley-population-2020-census-population-and-housing-2020-cph" TargetMode="External"/><Relationship Id="rId29" Type="http://schemas.openxmlformats.org/officeDocument/2006/relationships/hyperlink" Target="https://psa.gov.ph/content/highlights-region-x-northern-mindanao-population-2020-census-population-and-housing-2020" TargetMode="External"/><Relationship Id="rId1" Type="http://schemas.openxmlformats.org/officeDocument/2006/relationships/hyperlink" Target="https://psa.gov.ph/content/2024-census-population-popcen-population-counts-declared-official-president" TargetMode="External"/><Relationship Id="rId6" Type="http://schemas.openxmlformats.org/officeDocument/2006/relationships/hyperlink" Target="https://psa.gov.ph/content/highlights-region-ii-cagayan-valley-population-2024-census-population-2024-popcen" TargetMode="External"/><Relationship Id="rId11" Type="http://schemas.openxmlformats.org/officeDocument/2006/relationships/hyperlink" Target="https://psa.gov.ph/content/highlights-region-viii-eastern-visayas-population-2024-census-population-2024-popcen" TargetMode="External"/><Relationship Id="rId24" Type="http://schemas.openxmlformats.org/officeDocument/2006/relationships/hyperlink" Target="https://psa.gov.ph/content/highlights-region-v-bicol-region-population-2020-census-population-and-housing-2020-cph" TargetMode="External"/><Relationship Id="rId32" Type="http://schemas.openxmlformats.org/officeDocument/2006/relationships/hyperlink" Target="https://psa.gov.ph/content/highlights-region-xiii-caraga-population-2020-census-population-and-housing-2020-cph" TargetMode="External"/><Relationship Id="rId5" Type="http://schemas.openxmlformats.org/officeDocument/2006/relationships/hyperlink" Target="https://psa.gov.ph/content/highlights-region-i-ilocos-region-population-2024-census-population-2024-popcen" TargetMode="External"/><Relationship Id="rId15" Type="http://schemas.openxmlformats.org/officeDocument/2006/relationships/hyperlink" Target="https://psa.gov.ph/content/highlights-population-density-philippines-2020-census-population-and-housing-2020-cph" TargetMode="External"/><Relationship Id="rId23" Type="http://schemas.openxmlformats.org/officeDocument/2006/relationships/hyperlink" Target="https://psa.gov.ph/statistics/population-and-housing/node/165014" TargetMode="External"/><Relationship Id="rId28" Type="http://schemas.openxmlformats.org/officeDocument/2006/relationships/hyperlink" Target="https://psa.gov.ph/content/highlights-region-ix-zamboanga-peninsula-population-2020-census-population-and-housing-2020" TargetMode="External"/><Relationship Id="rId10" Type="http://schemas.openxmlformats.org/officeDocument/2006/relationships/hyperlink" Target="https://psa.gov.ph/content/highlights-region-vii-central-visayas-population-2024-census-population-2024-popcen" TargetMode="External"/><Relationship Id="rId19" Type="http://schemas.openxmlformats.org/officeDocument/2006/relationships/hyperlink" Target="https://psa.gov.ph/content/highlights-region-i-ilocos-region-population-2020-census-population-and-housing-2020-cph" TargetMode="External"/><Relationship Id="rId31" Type="http://schemas.openxmlformats.org/officeDocument/2006/relationships/hyperlink" Target="https://psa.gov.ph/content/highlights-region-xii-soccsksargen-population-2020-census-population-and-housing-2020-cph" TargetMode="External"/><Relationship Id="rId4" Type="http://schemas.openxmlformats.org/officeDocument/2006/relationships/hyperlink" Target="https://psa.gov.ph/content/highlights-national-capital-region-ncr-population-2024-census-population-2024-popcen" TargetMode="External"/><Relationship Id="rId9" Type="http://schemas.openxmlformats.org/officeDocument/2006/relationships/hyperlink" Target="https://psa.gov.ph/content/highlights-negros-island-region-nir-population-2024-census-population-2024-popcen" TargetMode="External"/><Relationship Id="rId14" Type="http://schemas.openxmlformats.org/officeDocument/2006/relationships/hyperlink" Target="https://psa.gov.ph/content/2020-census-population-and-housing-2020-cph-population-counts-declared-official-president" TargetMode="External"/><Relationship Id="rId22" Type="http://schemas.openxmlformats.org/officeDocument/2006/relationships/hyperlink" Target="https://rsso04a.psa.gov.ph/content/highlights-region-iv-calabarzon-population-2020-census-population-and-housing-2020-cph" TargetMode="External"/><Relationship Id="rId27" Type="http://schemas.openxmlformats.org/officeDocument/2006/relationships/hyperlink" Target="https://psa.gov.ph/content/highlights-region-viii-eastern-visayas-population-2020-census-population-and-housing-2020" TargetMode="External"/><Relationship Id="rId30" Type="http://schemas.openxmlformats.org/officeDocument/2006/relationships/hyperlink" Target="https://psa.gov.ph/content/highlights-region-xi-davao-region-population-2020-census-population-and-housing-2020-cph" TargetMode="External"/><Relationship Id="rId8" Type="http://schemas.openxmlformats.org/officeDocument/2006/relationships/hyperlink" Target="https://psa.gov.ph/content/highlights-region-v-bicol-region-population-2024-census-population-2024-popc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/>
  </sheetViews>
  <sheetFormatPr defaultColWidth="8.6640625" defaultRowHeight="14.25" x14ac:dyDescent="0.45"/>
  <cols>
    <col min="1" max="1" width="28" customWidth="1"/>
    <col min="2" max="2" width="120" customWidth="1"/>
  </cols>
  <sheetData>
    <row r="1" spans="1:2" ht="17.649999999999999" x14ac:dyDescent="0.5">
      <c r="A1" s="4" t="s">
        <v>0</v>
      </c>
    </row>
    <row r="3" spans="1:2" ht="48" customHeight="1" x14ac:dyDescent="0.45">
      <c r="A3" s="5" t="s">
        <v>1</v>
      </c>
      <c r="B3" s="6" t="s">
        <v>2</v>
      </c>
    </row>
    <row r="4" spans="1:2" ht="48" customHeight="1" x14ac:dyDescent="0.45">
      <c r="A4" s="5" t="s">
        <v>3</v>
      </c>
      <c r="B4" s="6" t="s">
        <v>4</v>
      </c>
    </row>
    <row r="5" spans="1:2" ht="48" customHeight="1" x14ac:dyDescent="0.45">
      <c r="A5" s="5" t="s">
        <v>5</v>
      </c>
      <c r="B5" s="6" t="s">
        <v>6</v>
      </c>
    </row>
    <row r="6" spans="1:2" ht="48" customHeight="1" x14ac:dyDescent="0.45">
      <c r="A6" s="5" t="s">
        <v>7</v>
      </c>
      <c r="B6" s="6" t="s">
        <v>8</v>
      </c>
    </row>
    <row r="7" spans="1:2" ht="48" customHeight="1" x14ac:dyDescent="0.45">
      <c r="A7" s="5" t="s">
        <v>9</v>
      </c>
      <c r="B7" s="6" t="s">
        <v>10</v>
      </c>
    </row>
    <row r="8" spans="1:2" ht="48" customHeight="1" x14ac:dyDescent="0.45">
      <c r="A8" s="5" t="s">
        <v>11</v>
      </c>
      <c r="B8" s="6" t="s">
        <v>12</v>
      </c>
    </row>
    <row r="9" spans="1:2" ht="48" customHeight="1" x14ac:dyDescent="0.45">
      <c r="A9" s="5" t="s">
        <v>13</v>
      </c>
      <c r="B9" s="6" t="s">
        <v>14</v>
      </c>
    </row>
    <row r="10" spans="1:2" ht="48" customHeight="1" x14ac:dyDescent="0.45">
      <c r="A10" s="5" t="s">
        <v>15</v>
      </c>
      <c r="B10" s="6" t="s">
        <v>16</v>
      </c>
    </row>
    <row r="11" spans="1:2" ht="48" customHeight="1" x14ac:dyDescent="0.45">
      <c r="A11" s="5" t="s">
        <v>17</v>
      </c>
      <c r="B11" s="6" t="s">
        <v>18</v>
      </c>
    </row>
    <row r="12" spans="1:2" ht="48" customHeight="1" x14ac:dyDescent="0.45">
      <c r="A12" s="5" t="s">
        <v>19</v>
      </c>
      <c r="B12" s="6" t="s">
        <v>20</v>
      </c>
    </row>
    <row r="15" spans="1:2" x14ac:dyDescent="0.45">
      <c r="A15" s="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zoomScaleNormal="100" workbookViewId="0">
      <pane xSplit="1" ySplit="4" topLeftCell="C18" activePane="bottomRight" state="frozen"/>
      <selection pane="topRight" activeCell="B1" sqref="B1"/>
      <selection pane="bottomLeft" activeCell="A5" sqref="A5"/>
      <selection pane="bottomRight" activeCell="E20" sqref="E20"/>
    </sheetView>
  </sheetViews>
  <sheetFormatPr defaultColWidth="8.6640625" defaultRowHeight="14.25" x14ac:dyDescent="0.45"/>
  <cols>
    <col min="1" max="1" width="62" customWidth="1"/>
    <col min="2" max="6" width="16" customWidth="1"/>
  </cols>
  <sheetData>
    <row r="1" spans="1:6" ht="17.649999999999999" x14ac:dyDescent="0.5">
      <c r="A1" s="4" t="s">
        <v>22</v>
      </c>
    </row>
    <row r="2" spans="1:6" x14ac:dyDescent="0.45">
      <c r="A2" s="7" t="s">
        <v>23</v>
      </c>
    </row>
    <row r="4" spans="1:6" x14ac:dyDescent="0.45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</row>
    <row r="5" spans="1:6" x14ac:dyDescent="0.45">
      <c r="A5" s="9" t="s">
        <v>30</v>
      </c>
      <c r="B5" s="10">
        <v>36647</v>
      </c>
      <c r="C5" s="10">
        <v>40299</v>
      </c>
      <c r="D5" s="10">
        <v>42217</v>
      </c>
      <c r="E5" s="10">
        <v>43952</v>
      </c>
      <c r="F5" s="10">
        <v>45474</v>
      </c>
    </row>
    <row r="6" spans="1:6" x14ac:dyDescent="0.45">
      <c r="A6" s="11" t="s">
        <v>31</v>
      </c>
    </row>
    <row r="7" spans="1:6" x14ac:dyDescent="0.45">
      <c r="A7" s="9" t="s">
        <v>32</v>
      </c>
      <c r="B7" s="12">
        <f>SUMIFS(Regional_Census!D$5:D$22,Regional_Census!$C$5:$C$22,$A7)</f>
        <v>42822878</v>
      </c>
      <c r="C7" s="12">
        <f>SUMIFS(Regional_Census!E$5:E$22,Regional_Census!$C$5:$C$22,$A7)</f>
        <v>52362999</v>
      </c>
      <c r="D7" s="12">
        <f>SUMIFS(Regional_Census!F$5:F$22,Regional_Census!$C$5:$C$22,$A7)</f>
        <v>57470097</v>
      </c>
      <c r="E7" s="12">
        <f>SUMIFS(Regional_Census!G$5:G$22,Regional_Census!$C$5:$C$22,$A7)</f>
        <v>62196942</v>
      </c>
      <c r="F7" s="12">
        <f>SUMIFS(Regional_Census!H$5:H$22,Regional_Census!$C$5:$C$22,$A7)</f>
        <v>64162977</v>
      </c>
    </row>
    <row r="8" spans="1:6" x14ac:dyDescent="0.45">
      <c r="A8" s="9" t="s">
        <v>33</v>
      </c>
      <c r="B8" s="12">
        <f>SUMIFS(Regional_Census!D$5:D$22,Regional_Census!$C$5:$C$22,$A8)</f>
        <v>15528346</v>
      </c>
      <c r="C8" s="12">
        <f>SUMIFS(Regional_Census!E$5:E$22,Regional_Census!$C$5:$C$22,$A8)</f>
        <v>18003940</v>
      </c>
      <c r="D8" s="12">
        <f>SUMIFS(Regional_Census!F$5:F$22,Regional_Census!$C$5:$C$22,$A8)</f>
        <v>19373431</v>
      </c>
      <c r="E8" s="12">
        <f>SUMIFS(Regional_Census!G$5:G$22,Regional_Census!$C$5:$C$22,$A8)</f>
        <v>20583861</v>
      </c>
      <c r="F8" s="12">
        <f>SUMIFS(Regional_Census!H$5:H$22,Regional_Census!$C$5:$C$22,$A8)</f>
        <v>21033659</v>
      </c>
    </row>
    <row r="9" spans="1:6" x14ac:dyDescent="0.45">
      <c r="A9" s="9" t="s">
        <v>34</v>
      </c>
      <c r="B9" s="12">
        <f>SUMIFS(Regional_Census!D$5:D$22,Regional_Census!$C$5:$C$22,$A9)</f>
        <v>18133864</v>
      </c>
      <c r="C9" s="12">
        <f>SUMIFS(Regional_Census!E$5:E$22,Regional_Census!$C$5:$C$22,$A9)</f>
        <v>21968174</v>
      </c>
      <c r="D9" s="12">
        <f>SUMIFS(Regional_Census!F$5:F$22,Regional_Census!$C$5:$C$22,$A9)</f>
        <v>24135775</v>
      </c>
      <c r="E9" s="12">
        <f>SUMIFS(Regional_Census!G$5:G$22,Regional_Census!$C$5:$C$22,$A9)</f>
        <v>26252442</v>
      </c>
      <c r="F9" s="12">
        <f>SUMIFS(Regional_Census!H$5:H$22,Regional_Census!$C$5:$C$22,$A9)</f>
        <v>27531140</v>
      </c>
    </row>
    <row r="10" spans="1:6" x14ac:dyDescent="0.45">
      <c r="A10" s="9" t="s">
        <v>35</v>
      </c>
      <c r="B10" s="13">
        <f>SUM(B7:B9)</f>
        <v>76485088</v>
      </c>
      <c r="C10" s="13">
        <f>SUM(C7:C9)</f>
        <v>92335113</v>
      </c>
      <c r="D10" s="13">
        <f>SUM(D7:D9)</f>
        <v>100979303</v>
      </c>
      <c r="E10" s="13">
        <f>SUM(E7:E9)</f>
        <v>109033245</v>
      </c>
      <c r="F10" s="13">
        <f>SUM(F7:F9)</f>
        <v>112727776</v>
      </c>
    </row>
    <row r="12" spans="1:6" x14ac:dyDescent="0.45">
      <c r="A12" s="11" t="s">
        <v>36</v>
      </c>
    </row>
    <row r="13" spans="1:6" x14ac:dyDescent="0.45">
      <c r="A13" s="14" t="s">
        <v>37</v>
      </c>
      <c r="B13" s="15"/>
      <c r="C13" s="15">
        <v>92337852</v>
      </c>
      <c r="D13" s="15">
        <v>100981437</v>
      </c>
      <c r="E13" s="15">
        <v>109035343</v>
      </c>
      <c r="F13" s="15">
        <v>112729484</v>
      </c>
    </row>
    <row r="14" spans="1:6" x14ac:dyDescent="0.45">
      <c r="A14" s="14" t="s">
        <v>38</v>
      </c>
      <c r="B14" s="15"/>
      <c r="C14" s="15">
        <v>2739</v>
      </c>
      <c r="D14" s="15">
        <v>2134</v>
      </c>
      <c r="E14" s="15">
        <v>2098</v>
      </c>
      <c r="F14" s="15">
        <v>1708</v>
      </c>
    </row>
    <row r="15" spans="1:6" x14ac:dyDescent="0.45">
      <c r="A15" s="9" t="s">
        <v>39</v>
      </c>
      <c r="B15" s="16" t="s">
        <v>40</v>
      </c>
      <c r="C15" s="13">
        <f>C13-C14</f>
        <v>92335113</v>
      </c>
      <c r="D15" s="13">
        <f>D13-D14</f>
        <v>100979303</v>
      </c>
      <c r="E15" s="13">
        <f>E13-E14</f>
        <v>109033245</v>
      </c>
      <c r="F15" s="13">
        <f>F13-F14</f>
        <v>112727776</v>
      </c>
    </row>
    <row r="16" spans="1:6" x14ac:dyDescent="0.45">
      <c r="A16" s="9" t="s">
        <v>41</v>
      </c>
      <c r="B16" s="16" t="s">
        <v>42</v>
      </c>
      <c r="C16" s="13">
        <f>C10-C15</f>
        <v>0</v>
      </c>
      <c r="D16" s="13">
        <f>D10-D15</f>
        <v>0</v>
      </c>
      <c r="E16" s="13">
        <f>E10-E15</f>
        <v>0</v>
      </c>
      <c r="F16" s="13">
        <f>F10-F15</f>
        <v>0</v>
      </c>
    </row>
    <row r="17" spans="1:7" ht="42" customHeight="1" x14ac:dyDescent="0.45">
      <c r="A17" s="3" t="s">
        <v>43</v>
      </c>
      <c r="B17" s="3"/>
      <c r="C17" s="3"/>
      <c r="D17" s="3"/>
      <c r="E17" s="3"/>
      <c r="F17" s="3"/>
    </row>
    <row r="18" spans="1:7" ht="30" customHeight="1" x14ac:dyDescent="0.45">
      <c r="A18" s="2" t="s">
        <v>44</v>
      </c>
      <c r="B18" s="2"/>
      <c r="C18" s="2"/>
      <c r="D18" s="2"/>
      <c r="E18" s="2"/>
      <c r="F18" s="2"/>
    </row>
    <row r="20" spans="1:7" x14ac:dyDescent="0.45">
      <c r="A20" s="11" t="s">
        <v>45</v>
      </c>
      <c r="G20" s="28" t="s">
        <v>271</v>
      </c>
    </row>
    <row r="21" spans="1:7" x14ac:dyDescent="0.45">
      <c r="A21" s="9" t="s">
        <v>32</v>
      </c>
      <c r="B21" s="17">
        <f t="shared" ref="B21:F23" si="0">B7/B$10</f>
        <v>0.55988532039081917</v>
      </c>
      <c r="C21" s="17">
        <f t="shared" si="0"/>
        <v>0.56709736197539495</v>
      </c>
      <c r="D21" s="17">
        <f t="shared" si="0"/>
        <v>0.5691274874416592</v>
      </c>
      <c r="E21" s="17">
        <f t="shared" si="0"/>
        <v>0.57044016253941632</v>
      </c>
      <c r="F21" s="17">
        <f t="shared" si="0"/>
        <v>0.5691851580572298</v>
      </c>
      <c r="G21" s="27">
        <f>AVERAGE(B21:F21)</f>
        <v>0.56714709808090391</v>
      </c>
    </row>
    <row r="22" spans="1:7" x14ac:dyDescent="0.45">
      <c r="A22" s="9" t="s">
        <v>33</v>
      </c>
      <c r="B22" s="17">
        <f t="shared" si="0"/>
        <v>0.20302449021173904</v>
      </c>
      <c r="C22" s="17">
        <f t="shared" si="0"/>
        <v>0.19498476164750023</v>
      </c>
      <c r="D22" s="17">
        <f t="shared" si="0"/>
        <v>0.19185546368843523</v>
      </c>
      <c r="E22" s="17">
        <f t="shared" si="0"/>
        <v>0.18878518198738375</v>
      </c>
      <c r="F22" s="17">
        <f t="shared" si="0"/>
        <v>0.18658807745838968</v>
      </c>
      <c r="G22" s="27">
        <f t="shared" ref="G22:G23" si="1">AVERAGE(B22:F22)</f>
        <v>0.19304759499868956</v>
      </c>
    </row>
    <row r="23" spans="1:7" x14ac:dyDescent="0.45">
      <c r="A23" s="9" t="s">
        <v>34</v>
      </c>
      <c r="B23" s="17">
        <f t="shared" si="0"/>
        <v>0.23709018939744175</v>
      </c>
      <c r="C23" s="17">
        <f t="shared" si="0"/>
        <v>0.23791787637710476</v>
      </c>
      <c r="D23" s="17">
        <f t="shared" si="0"/>
        <v>0.23901704886990555</v>
      </c>
      <c r="E23" s="17">
        <f t="shared" si="0"/>
        <v>0.24077465547319993</v>
      </c>
      <c r="F23" s="17">
        <f t="shared" si="0"/>
        <v>0.24422676448438049</v>
      </c>
      <c r="G23" s="27">
        <f t="shared" si="1"/>
        <v>0.23980530692040652</v>
      </c>
    </row>
    <row r="25" spans="1:7" x14ac:dyDescent="0.45">
      <c r="A25" s="11" t="s">
        <v>46</v>
      </c>
    </row>
    <row r="26" spans="1:7" x14ac:dyDescent="0.45">
      <c r="A26" s="1" t="s">
        <v>47</v>
      </c>
      <c r="B26" s="1"/>
      <c r="C26" s="1"/>
      <c r="D26" s="1"/>
      <c r="E26" s="1"/>
      <c r="F26" s="1"/>
    </row>
    <row r="27" spans="1:7" x14ac:dyDescent="0.45">
      <c r="A27" s="9" t="s">
        <v>32</v>
      </c>
      <c r="B27" s="18" t="s">
        <v>48</v>
      </c>
      <c r="C27" s="17">
        <f t="shared" ref="C27:F30" si="2">(C7/B7)^(1/((C$5-B$5)/365.25))-1</f>
        <v>2.0319206626846498E-2</v>
      </c>
      <c r="D27" s="17">
        <f t="shared" si="2"/>
        <v>1.7880512429142126E-2</v>
      </c>
      <c r="E27" s="17">
        <f t="shared" si="2"/>
        <v>1.6778836363279925E-2</v>
      </c>
      <c r="F27" s="17">
        <f t="shared" si="2"/>
        <v>7.4962706061032502E-3</v>
      </c>
    </row>
    <row r="28" spans="1:7" x14ac:dyDescent="0.45">
      <c r="A28" s="9" t="s">
        <v>33</v>
      </c>
      <c r="B28" s="18" t="s">
        <v>48</v>
      </c>
      <c r="C28" s="17">
        <f t="shared" si="2"/>
        <v>1.4904353174652663E-2</v>
      </c>
      <c r="D28" s="17">
        <f t="shared" si="2"/>
        <v>1.4058909070575831E-2</v>
      </c>
      <c r="E28" s="17">
        <f t="shared" si="2"/>
        <v>1.2840167105307332E-2</v>
      </c>
      <c r="F28" s="17">
        <f t="shared" si="2"/>
        <v>5.2010467196181853E-3</v>
      </c>
    </row>
    <row r="29" spans="1:7" x14ac:dyDescent="0.45">
      <c r="A29" s="9" t="s">
        <v>34</v>
      </c>
      <c r="B29" s="18" t="s">
        <v>48</v>
      </c>
      <c r="C29" s="17">
        <f t="shared" si="2"/>
        <v>1.9369185262484434E-2</v>
      </c>
      <c r="D29" s="17">
        <f t="shared" si="2"/>
        <v>1.8081322125315102E-2</v>
      </c>
      <c r="E29" s="17">
        <f t="shared" si="2"/>
        <v>1.785453161441497E-2</v>
      </c>
      <c r="F29" s="17">
        <f t="shared" si="2"/>
        <v>1.1478532558166332E-2</v>
      </c>
    </row>
    <row r="30" spans="1:7" x14ac:dyDescent="0.45">
      <c r="A30" s="9" t="s">
        <v>49</v>
      </c>
      <c r="B30" s="18" t="s">
        <v>48</v>
      </c>
      <c r="C30" s="17">
        <f t="shared" si="2"/>
        <v>1.9013954270565181E-2</v>
      </c>
      <c r="D30" s="17">
        <f t="shared" si="2"/>
        <v>1.7188076309206046E-2</v>
      </c>
      <c r="E30" s="17">
        <f t="shared" si="2"/>
        <v>1.6285822360430524E-2</v>
      </c>
      <c r="F30" s="17">
        <f t="shared" si="2"/>
        <v>8.0289270146225444E-3</v>
      </c>
    </row>
    <row r="32" spans="1:7" x14ac:dyDescent="0.45">
      <c r="A32" s="1" t="s">
        <v>50</v>
      </c>
      <c r="B32" s="1"/>
      <c r="C32" s="1"/>
      <c r="D32" s="1"/>
      <c r="E32" s="1"/>
      <c r="F32" s="1"/>
    </row>
  </sheetData>
  <mergeCells count="4">
    <mergeCell ref="A17:F17"/>
    <mergeCell ref="A18:F18"/>
    <mergeCell ref="A26:F26"/>
    <mergeCell ref="A32:F3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25" x14ac:dyDescent="0.45"/>
  <cols>
    <col min="1" max="1" width="10" customWidth="1"/>
    <col min="2" max="2" width="38" customWidth="1"/>
    <col min="3" max="3" width="12" customWidth="1"/>
    <col min="4" max="8" width="14" customWidth="1"/>
    <col min="9" max="9" width="60" customWidth="1"/>
    <col min="10" max="11" width="55" customWidth="1"/>
  </cols>
  <sheetData>
    <row r="1" spans="1:11" ht="17.649999999999999" x14ac:dyDescent="0.5">
      <c r="A1" s="4" t="s">
        <v>51</v>
      </c>
    </row>
    <row r="2" spans="1:11" x14ac:dyDescent="0.45">
      <c r="A2" s="7" t="s">
        <v>52</v>
      </c>
    </row>
    <row r="4" spans="1:11" ht="31.5" customHeight="1" x14ac:dyDescent="0.45">
      <c r="A4" s="8" t="s">
        <v>53</v>
      </c>
      <c r="B4" s="8" t="s">
        <v>54</v>
      </c>
      <c r="C4" s="8" t="s">
        <v>55</v>
      </c>
      <c r="D4" s="8" t="s">
        <v>56</v>
      </c>
      <c r="E4" s="8" t="s">
        <v>57</v>
      </c>
      <c r="F4" s="8" t="s">
        <v>58</v>
      </c>
      <c r="G4" s="8" t="s">
        <v>59</v>
      </c>
      <c r="H4" s="8" t="s">
        <v>60</v>
      </c>
      <c r="I4" s="8" t="s">
        <v>61</v>
      </c>
      <c r="J4" s="8" t="s">
        <v>62</v>
      </c>
      <c r="K4" s="8" t="s">
        <v>63</v>
      </c>
    </row>
    <row r="5" spans="1:11" ht="25.5" x14ac:dyDescent="0.45">
      <c r="A5" s="19" t="s">
        <v>64</v>
      </c>
      <c r="B5" s="19" t="s">
        <v>65</v>
      </c>
      <c r="C5" s="19" t="s">
        <v>32</v>
      </c>
      <c r="D5" s="15">
        <v>9932560</v>
      </c>
      <c r="E5" s="15">
        <v>11855975</v>
      </c>
      <c r="F5" s="15">
        <v>12877253</v>
      </c>
      <c r="G5" s="15">
        <v>13484462</v>
      </c>
      <c r="H5" s="15">
        <v>14001751</v>
      </c>
      <c r="I5" s="6" t="s">
        <v>66</v>
      </c>
      <c r="J5" s="20" t="s">
        <v>67</v>
      </c>
      <c r="K5" s="20" t="s">
        <v>68</v>
      </c>
    </row>
    <row r="6" spans="1:11" ht="25.5" x14ac:dyDescent="0.45">
      <c r="A6" s="19" t="s">
        <v>69</v>
      </c>
      <c r="B6" s="19" t="s">
        <v>70</v>
      </c>
      <c r="C6" s="19" t="s">
        <v>32</v>
      </c>
      <c r="D6" s="15">
        <v>1365412</v>
      </c>
      <c r="E6" s="15">
        <v>1616867</v>
      </c>
      <c r="F6" s="15">
        <v>1722006</v>
      </c>
      <c r="G6" s="15">
        <v>1797660</v>
      </c>
      <c r="H6" s="15">
        <v>1808985</v>
      </c>
      <c r="I6" s="6" t="s">
        <v>66</v>
      </c>
      <c r="J6" s="20" t="s">
        <v>71</v>
      </c>
      <c r="K6" s="20" t="s">
        <v>72</v>
      </c>
    </row>
    <row r="7" spans="1:11" ht="25.5" x14ac:dyDescent="0.45">
      <c r="A7" s="19" t="s">
        <v>73</v>
      </c>
      <c r="B7" s="19" t="s">
        <v>74</v>
      </c>
      <c r="C7" s="19" t="s">
        <v>32</v>
      </c>
      <c r="D7" s="15">
        <v>4200478</v>
      </c>
      <c r="E7" s="15">
        <v>4748372</v>
      </c>
      <c r="F7" s="15">
        <v>5026128</v>
      </c>
      <c r="G7" s="15">
        <v>5301139</v>
      </c>
      <c r="H7" s="15">
        <v>5342453</v>
      </c>
      <c r="I7" s="6" t="s">
        <v>66</v>
      </c>
      <c r="J7" s="20" t="s">
        <v>75</v>
      </c>
      <c r="K7" s="20" t="s">
        <v>76</v>
      </c>
    </row>
    <row r="8" spans="1:11" ht="25.5" x14ac:dyDescent="0.45">
      <c r="A8" s="19" t="s">
        <v>77</v>
      </c>
      <c r="B8" s="19" t="s">
        <v>78</v>
      </c>
      <c r="C8" s="19" t="s">
        <v>32</v>
      </c>
      <c r="D8" s="15">
        <v>2813159</v>
      </c>
      <c r="E8" s="15">
        <v>3229163</v>
      </c>
      <c r="F8" s="15">
        <v>3451410</v>
      </c>
      <c r="G8" s="15">
        <v>3685744</v>
      </c>
      <c r="H8" s="15">
        <v>3777608</v>
      </c>
      <c r="I8" s="6" t="s">
        <v>66</v>
      </c>
      <c r="J8" s="20" t="s">
        <v>79</v>
      </c>
      <c r="K8" s="20" t="s">
        <v>80</v>
      </c>
    </row>
    <row r="9" spans="1:11" ht="25.5" x14ac:dyDescent="0.45">
      <c r="A9" s="19" t="s">
        <v>81</v>
      </c>
      <c r="B9" s="19" t="s">
        <v>82</v>
      </c>
      <c r="C9" s="19" t="s">
        <v>32</v>
      </c>
      <c r="D9" s="15">
        <v>8204742</v>
      </c>
      <c r="E9" s="15">
        <v>10137737</v>
      </c>
      <c r="F9" s="15">
        <v>11218177</v>
      </c>
      <c r="G9" s="15">
        <v>12422172</v>
      </c>
      <c r="H9" s="15">
        <v>12989074</v>
      </c>
      <c r="I9" s="6" t="s">
        <v>66</v>
      </c>
      <c r="J9" s="20" t="s">
        <v>83</v>
      </c>
      <c r="K9" s="20" t="s">
        <v>72</v>
      </c>
    </row>
    <row r="10" spans="1:11" ht="23.25" x14ac:dyDescent="0.45">
      <c r="A10" s="19" t="s">
        <v>84</v>
      </c>
      <c r="B10" s="19" t="s">
        <v>85</v>
      </c>
      <c r="C10" s="19" t="s">
        <v>32</v>
      </c>
      <c r="D10" s="15">
        <v>9320629</v>
      </c>
      <c r="E10" s="15">
        <v>12609803</v>
      </c>
      <c r="F10" s="15">
        <v>14414774</v>
      </c>
      <c r="G10" s="15">
        <v>16195042</v>
      </c>
      <c r="H10" s="15">
        <v>16933234</v>
      </c>
      <c r="I10" s="6" t="s">
        <v>86</v>
      </c>
      <c r="J10" s="20" t="s">
        <v>87</v>
      </c>
      <c r="K10" s="20" t="s">
        <v>88</v>
      </c>
    </row>
    <row r="11" spans="1:11" ht="25.5" x14ac:dyDescent="0.45">
      <c r="A11" s="19" t="s">
        <v>89</v>
      </c>
      <c r="B11" s="19" t="s">
        <v>90</v>
      </c>
      <c r="C11" s="19" t="s">
        <v>32</v>
      </c>
      <c r="D11" s="15">
        <v>2299229</v>
      </c>
      <c r="E11" s="15">
        <v>2744671</v>
      </c>
      <c r="F11" s="15">
        <v>2963360</v>
      </c>
      <c r="G11" s="15">
        <v>3228558</v>
      </c>
      <c r="H11" s="15">
        <v>3245446</v>
      </c>
      <c r="I11" s="6" t="s">
        <v>66</v>
      </c>
      <c r="J11" s="20" t="s">
        <v>91</v>
      </c>
      <c r="K11" s="20" t="s">
        <v>72</v>
      </c>
    </row>
    <row r="12" spans="1:11" ht="25.5" x14ac:dyDescent="0.45">
      <c r="A12" s="19" t="s">
        <v>92</v>
      </c>
      <c r="B12" s="19" t="s">
        <v>93</v>
      </c>
      <c r="C12" s="19" t="s">
        <v>32</v>
      </c>
      <c r="D12" s="15">
        <v>4686669</v>
      </c>
      <c r="E12" s="15">
        <v>5420411</v>
      </c>
      <c r="F12" s="15">
        <v>5796989</v>
      </c>
      <c r="G12" s="15">
        <v>6082165</v>
      </c>
      <c r="H12" s="15">
        <v>6064426</v>
      </c>
      <c r="I12" s="6" t="s">
        <v>66</v>
      </c>
      <c r="J12" s="20" t="s">
        <v>94</v>
      </c>
      <c r="K12" s="20" t="s">
        <v>95</v>
      </c>
    </row>
    <row r="13" spans="1:11" ht="38.25" x14ac:dyDescent="0.45">
      <c r="A13" s="19" t="s">
        <v>96</v>
      </c>
      <c r="B13" s="19" t="s">
        <v>97</v>
      </c>
      <c r="C13" s="19" t="s">
        <v>33</v>
      </c>
      <c r="D13" s="15">
        <v>6211038</v>
      </c>
      <c r="E13" s="15">
        <v>7102438</v>
      </c>
      <c r="F13" s="15">
        <v>7536383</v>
      </c>
      <c r="G13" s="15">
        <v>7954723</v>
      </c>
      <c r="H13" s="15">
        <v>4861911</v>
      </c>
      <c r="I13" s="21" t="s">
        <v>98</v>
      </c>
      <c r="J13" s="20" t="s">
        <v>99</v>
      </c>
      <c r="K13" s="20" t="s">
        <v>100</v>
      </c>
    </row>
    <row r="14" spans="1:11" ht="25.5" x14ac:dyDescent="0.45">
      <c r="A14" s="19" t="s">
        <v>101</v>
      </c>
      <c r="B14" s="19" t="s">
        <v>102</v>
      </c>
      <c r="C14" s="19" t="s">
        <v>33</v>
      </c>
      <c r="D14" s="15"/>
      <c r="E14" s="15"/>
      <c r="F14" s="15"/>
      <c r="G14" s="15"/>
      <c r="H14" s="15">
        <v>4904944</v>
      </c>
      <c r="I14" s="21" t="s">
        <v>103</v>
      </c>
      <c r="J14" s="6" t="s">
        <v>104</v>
      </c>
      <c r="K14" s="20" t="s">
        <v>100</v>
      </c>
    </row>
    <row r="15" spans="1:11" ht="38.25" x14ac:dyDescent="0.45">
      <c r="A15" s="19" t="s">
        <v>105</v>
      </c>
      <c r="B15" s="19" t="s">
        <v>106</v>
      </c>
      <c r="C15" s="19" t="s">
        <v>33</v>
      </c>
      <c r="D15" s="15">
        <v>5706953</v>
      </c>
      <c r="E15" s="15">
        <v>6800180</v>
      </c>
      <c r="F15" s="15">
        <v>7396898</v>
      </c>
      <c r="G15" s="15">
        <v>8081988</v>
      </c>
      <c r="H15" s="15">
        <v>6640875</v>
      </c>
      <c r="I15" s="21" t="s">
        <v>107</v>
      </c>
      <c r="J15" s="20" t="s">
        <v>108</v>
      </c>
      <c r="K15" s="20" t="s">
        <v>109</v>
      </c>
    </row>
    <row r="16" spans="1:11" ht="25.5" x14ac:dyDescent="0.45">
      <c r="A16" s="19" t="s">
        <v>110</v>
      </c>
      <c r="B16" s="19" t="s">
        <v>111</v>
      </c>
      <c r="C16" s="19" t="s">
        <v>33</v>
      </c>
      <c r="D16" s="15">
        <v>3610355</v>
      </c>
      <c r="E16" s="15">
        <v>4101322</v>
      </c>
      <c r="F16" s="15">
        <v>4440150</v>
      </c>
      <c r="G16" s="15">
        <v>4547150</v>
      </c>
      <c r="H16" s="15">
        <v>4625929</v>
      </c>
      <c r="I16" s="6" t="s">
        <v>66</v>
      </c>
      <c r="J16" s="20" t="s">
        <v>112</v>
      </c>
      <c r="K16" s="20" t="s">
        <v>113</v>
      </c>
    </row>
    <row r="17" spans="1:11" ht="25.5" x14ac:dyDescent="0.45">
      <c r="A17" s="19" t="s">
        <v>114</v>
      </c>
      <c r="B17" s="19" t="s">
        <v>115</v>
      </c>
      <c r="C17" s="19" t="s">
        <v>34</v>
      </c>
      <c r="D17" s="15">
        <v>2831412</v>
      </c>
      <c r="E17" s="15">
        <v>3407353</v>
      </c>
      <c r="F17" s="15">
        <v>3629783</v>
      </c>
      <c r="G17" s="15">
        <v>3875576</v>
      </c>
      <c r="H17" s="15">
        <v>3943837</v>
      </c>
      <c r="I17" s="6" t="s">
        <v>66</v>
      </c>
      <c r="J17" s="20" t="s">
        <v>116</v>
      </c>
      <c r="K17" s="20" t="s">
        <v>117</v>
      </c>
    </row>
    <row r="18" spans="1:11" ht="25.5" x14ac:dyDescent="0.45">
      <c r="A18" s="19" t="s">
        <v>118</v>
      </c>
      <c r="B18" s="19" t="s">
        <v>119</v>
      </c>
      <c r="C18" s="19" t="s">
        <v>34</v>
      </c>
      <c r="D18" s="15">
        <v>3505708</v>
      </c>
      <c r="E18" s="15">
        <v>4297323</v>
      </c>
      <c r="F18" s="15">
        <v>4689302</v>
      </c>
      <c r="G18" s="15">
        <v>5022768</v>
      </c>
      <c r="H18" s="15">
        <v>5178326</v>
      </c>
      <c r="I18" s="6" t="s">
        <v>66</v>
      </c>
      <c r="J18" s="20" t="s">
        <v>120</v>
      </c>
      <c r="K18" s="20" t="s">
        <v>72</v>
      </c>
    </row>
    <row r="19" spans="1:11" ht="25.5" x14ac:dyDescent="0.45">
      <c r="A19" s="19" t="s">
        <v>121</v>
      </c>
      <c r="B19" s="19" t="s">
        <v>122</v>
      </c>
      <c r="C19" s="19" t="s">
        <v>34</v>
      </c>
      <c r="D19" s="15">
        <v>3676163</v>
      </c>
      <c r="E19" s="15">
        <v>4468563</v>
      </c>
      <c r="F19" s="15">
        <v>4893318</v>
      </c>
      <c r="G19" s="15">
        <v>5243536</v>
      </c>
      <c r="H19" s="15">
        <v>5389422</v>
      </c>
      <c r="I19" s="6" t="s">
        <v>66</v>
      </c>
      <c r="J19" s="20" t="s">
        <v>123</v>
      </c>
      <c r="K19" s="20" t="s">
        <v>72</v>
      </c>
    </row>
    <row r="20" spans="1:11" ht="63.75" x14ac:dyDescent="0.45">
      <c r="A20" s="19" t="s">
        <v>124</v>
      </c>
      <c r="B20" s="19" t="s">
        <v>125</v>
      </c>
      <c r="C20" s="19" t="s">
        <v>34</v>
      </c>
      <c r="D20" s="15">
        <v>3222169</v>
      </c>
      <c r="E20" s="15">
        <v>4109571</v>
      </c>
      <c r="F20" s="15">
        <v>4545276</v>
      </c>
      <c r="G20" s="15">
        <v>4901486</v>
      </c>
      <c r="H20" s="15">
        <v>4462776</v>
      </c>
      <c r="I20" s="21" t="s">
        <v>126</v>
      </c>
      <c r="J20" s="20" t="s">
        <v>127</v>
      </c>
      <c r="K20" s="20" t="s">
        <v>128</v>
      </c>
    </row>
    <row r="21" spans="1:11" ht="25.5" x14ac:dyDescent="0.45">
      <c r="A21" s="19" t="s">
        <v>129</v>
      </c>
      <c r="B21" s="19" t="s">
        <v>130</v>
      </c>
      <c r="C21" s="19" t="s">
        <v>34</v>
      </c>
      <c r="D21" s="15">
        <v>2095367</v>
      </c>
      <c r="E21" s="15">
        <v>2429224</v>
      </c>
      <c r="F21" s="15">
        <v>2596709</v>
      </c>
      <c r="G21" s="15">
        <v>2804788</v>
      </c>
      <c r="H21" s="15">
        <v>2865196</v>
      </c>
      <c r="I21" s="6" t="s">
        <v>66</v>
      </c>
      <c r="J21" s="20" t="s">
        <v>131</v>
      </c>
      <c r="K21" s="20" t="s">
        <v>72</v>
      </c>
    </row>
    <row r="22" spans="1:11" ht="25.5" x14ac:dyDescent="0.45">
      <c r="A22" s="19" t="s">
        <v>132</v>
      </c>
      <c r="B22" s="19" t="s">
        <v>133</v>
      </c>
      <c r="C22" s="19" t="s">
        <v>34</v>
      </c>
      <c r="D22" s="15">
        <v>2803045</v>
      </c>
      <c r="E22" s="15">
        <v>3256140</v>
      </c>
      <c r="F22" s="15">
        <v>3781387</v>
      </c>
      <c r="G22" s="15">
        <v>4404288</v>
      </c>
      <c r="H22" s="15">
        <v>5691583</v>
      </c>
      <c r="I22" s="21" t="s">
        <v>134</v>
      </c>
      <c r="J22" s="20" t="s">
        <v>135</v>
      </c>
      <c r="K22" s="20" t="s">
        <v>72</v>
      </c>
    </row>
    <row r="23" spans="1:11" x14ac:dyDescent="0.45">
      <c r="B23" s="9" t="s">
        <v>136</v>
      </c>
      <c r="D23" s="13">
        <f>SUM(D5:D22)</f>
        <v>76485088</v>
      </c>
      <c r="E23" s="13">
        <f>SUM(E5:E22)</f>
        <v>92335113</v>
      </c>
      <c r="F23" s="13">
        <f>SUM(F5:F22)</f>
        <v>100979303</v>
      </c>
      <c r="G23" s="13">
        <f>SUM(G5:G22)</f>
        <v>109033245</v>
      </c>
      <c r="H23" s="13">
        <f>SUM(H5:H22)</f>
        <v>112727776</v>
      </c>
    </row>
    <row r="25" spans="1:11" x14ac:dyDescent="0.45">
      <c r="A25" s="9" t="s">
        <v>137</v>
      </c>
    </row>
    <row r="26" spans="1:11" x14ac:dyDescent="0.45">
      <c r="A26" s="14" t="s">
        <v>138</v>
      </c>
    </row>
    <row r="27" spans="1:11" x14ac:dyDescent="0.45">
      <c r="A27" s="14" t="s">
        <v>139</v>
      </c>
    </row>
    <row r="28" spans="1:11" x14ac:dyDescent="0.45">
      <c r="A28" s="14" t="s">
        <v>140</v>
      </c>
    </row>
  </sheetData>
  <hyperlinks>
    <hyperlink ref="J5" r:id="rId1" xr:uid="{00000000-0004-0000-0200-000000000000}"/>
    <hyperlink ref="K5" r:id="rId2" xr:uid="{00000000-0004-0000-0200-000001000000}"/>
    <hyperlink ref="J6" r:id="rId3" xr:uid="{00000000-0004-0000-0200-000002000000}"/>
    <hyperlink ref="K6" r:id="rId4" xr:uid="{00000000-0004-0000-0200-000003000000}"/>
    <hyperlink ref="J7" r:id="rId5" xr:uid="{00000000-0004-0000-0200-000004000000}"/>
    <hyperlink ref="K7" r:id="rId6" xr:uid="{00000000-0004-0000-0200-000005000000}"/>
    <hyperlink ref="J8" r:id="rId7" xr:uid="{00000000-0004-0000-0200-000006000000}"/>
    <hyperlink ref="K8" r:id="rId8" xr:uid="{00000000-0004-0000-0200-000007000000}"/>
    <hyperlink ref="J9" r:id="rId9" xr:uid="{00000000-0004-0000-0200-000008000000}"/>
    <hyperlink ref="K9" r:id="rId10" xr:uid="{00000000-0004-0000-0200-000009000000}"/>
    <hyperlink ref="J10" r:id="rId11" xr:uid="{00000000-0004-0000-0200-00000A000000}"/>
    <hyperlink ref="K10" r:id="rId12" xr:uid="{00000000-0004-0000-0200-00000B000000}"/>
    <hyperlink ref="J11" r:id="rId13" xr:uid="{00000000-0004-0000-0200-00000C000000}"/>
    <hyperlink ref="K11" r:id="rId14" xr:uid="{00000000-0004-0000-0200-00000D000000}"/>
    <hyperlink ref="J12" r:id="rId15" xr:uid="{00000000-0004-0000-0200-00000E000000}"/>
    <hyperlink ref="K12" r:id="rId16" xr:uid="{00000000-0004-0000-0200-00000F000000}"/>
    <hyperlink ref="J13" r:id="rId17" xr:uid="{00000000-0004-0000-0200-000010000000}"/>
    <hyperlink ref="K13" r:id="rId18" xr:uid="{00000000-0004-0000-0200-000011000000}"/>
    <hyperlink ref="K14" r:id="rId19" xr:uid="{00000000-0004-0000-0200-000012000000}"/>
    <hyperlink ref="J15" r:id="rId20" xr:uid="{00000000-0004-0000-0200-000013000000}"/>
    <hyperlink ref="K15" r:id="rId21" xr:uid="{00000000-0004-0000-0200-000014000000}"/>
    <hyperlink ref="J16" r:id="rId22" xr:uid="{00000000-0004-0000-0200-000015000000}"/>
    <hyperlink ref="K16" r:id="rId23" xr:uid="{00000000-0004-0000-0200-000016000000}"/>
    <hyperlink ref="J17" r:id="rId24" xr:uid="{00000000-0004-0000-0200-000017000000}"/>
    <hyperlink ref="K17" r:id="rId25" xr:uid="{00000000-0004-0000-0200-000018000000}"/>
    <hyperlink ref="J18" r:id="rId26" xr:uid="{00000000-0004-0000-0200-000019000000}"/>
    <hyperlink ref="K18" r:id="rId27" xr:uid="{00000000-0004-0000-0200-00001A000000}"/>
    <hyperlink ref="J19" r:id="rId28" xr:uid="{00000000-0004-0000-0200-00001B000000}"/>
    <hyperlink ref="K19" r:id="rId29" xr:uid="{00000000-0004-0000-0200-00001C000000}"/>
    <hyperlink ref="J20" r:id="rId30" xr:uid="{00000000-0004-0000-0200-00001D000000}"/>
    <hyperlink ref="K20" r:id="rId31" xr:uid="{00000000-0004-0000-0200-00001E000000}"/>
    <hyperlink ref="J21" r:id="rId32" xr:uid="{00000000-0004-0000-0200-00001F000000}"/>
    <hyperlink ref="K21" r:id="rId33" xr:uid="{00000000-0004-0000-0200-000020000000}"/>
    <hyperlink ref="J22" r:id="rId34" xr:uid="{00000000-0004-0000-0200-000021000000}"/>
    <hyperlink ref="K22" r:id="rId35" xr:uid="{00000000-0004-0000-0200-00002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zoomScaleNormal="100" workbookViewId="0"/>
  </sheetViews>
  <sheetFormatPr defaultColWidth="8.6640625" defaultRowHeight="14.25" x14ac:dyDescent="0.45"/>
  <cols>
    <col min="1" max="1" width="12" customWidth="1"/>
    <col min="2" max="9" width="17" customWidth="1"/>
  </cols>
  <sheetData>
    <row r="1" spans="1:11" ht="17.649999999999999" x14ac:dyDescent="0.5">
      <c r="A1" s="4" t="s">
        <v>141</v>
      </c>
    </row>
    <row r="2" spans="1:11" ht="39.75" customHeight="1" x14ac:dyDescent="0.45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31.5" customHeight="1" x14ac:dyDescent="0.45">
      <c r="A4" s="8" t="s">
        <v>53</v>
      </c>
      <c r="B4" s="8" t="s">
        <v>143</v>
      </c>
      <c r="C4" s="8" t="s">
        <v>144</v>
      </c>
      <c r="D4" s="8" t="s">
        <v>145</v>
      </c>
      <c r="E4" s="8" t="s">
        <v>146</v>
      </c>
      <c r="F4" s="8" t="s">
        <v>147</v>
      </c>
      <c r="G4" s="8" t="s">
        <v>148</v>
      </c>
      <c r="H4" s="8" t="s">
        <v>149</v>
      </c>
      <c r="I4" s="8" t="s">
        <v>150</v>
      </c>
    </row>
    <row r="5" spans="1:11" x14ac:dyDescent="0.45">
      <c r="A5" s="19" t="s">
        <v>64</v>
      </c>
      <c r="B5" s="22">
        <f>Regional_Census!G5</f>
        <v>13484462</v>
      </c>
      <c r="C5" s="15">
        <v>607209</v>
      </c>
      <c r="D5" s="15">
        <v>1628487</v>
      </c>
      <c r="E5" s="15">
        <v>3551902</v>
      </c>
      <c r="F5" s="23">
        <f t="shared" ref="F5:F18" si="0">B5-C5</f>
        <v>12877253</v>
      </c>
      <c r="G5" s="23">
        <f t="shared" ref="G5:G18" si="1">B5-D5</f>
        <v>11855975</v>
      </c>
      <c r="H5" s="23">
        <f t="shared" ref="H5:H18" si="2">B5-E5</f>
        <v>9932560</v>
      </c>
      <c r="I5" s="24" t="str">
        <f>IF(AND(F5=Regional_Census!F5,G5=Regional_Census!E5,H5=Regional_Census!D5),"OK","CHECK")</f>
        <v>OK</v>
      </c>
    </row>
    <row r="6" spans="1:11" x14ac:dyDescent="0.45">
      <c r="A6" s="19" t="s">
        <v>69</v>
      </c>
      <c r="B6" s="22">
        <f>Regional_Census!G6</f>
        <v>1797660</v>
      </c>
      <c r="C6" s="15">
        <v>75654</v>
      </c>
      <c r="D6" s="15">
        <v>180793</v>
      </c>
      <c r="E6" s="15">
        <v>432248</v>
      </c>
      <c r="F6" s="23">
        <f t="shared" si="0"/>
        <v>1722006</v>
      </c>
      <c r="G6" s="23">
        <f t="shared" si="1"/>
        <v>1616867</v>
      </c>
      <c r="H6" s="23">
        <f t="shared" si="2"/>
        <v>1365412</v>
      </c>
      <c r="I6" s="24" t="str">
        <f>IF(AND(F6=Regional_Census!F6,G6=Regional_Census!E6,H6=Regional_Census!D6),"OK","CHECK")</f>
        <v>OK</v>
      </c>
    </row>
    <row r="7" spans="1:11" x14ac:dyDescent="0.45">
      <c r="A7" s="19" t="s">
        <v>73</v>
      </c>
      <c r="B7" s="22">
        <f>Regional_Census!G7</f>
        <v>5301139</v>
      </c>
      <c r="C7" s="15">
        <v>275011</v>
      </c>
      <c r="D7" s="15">
        <v>552767</v>
      </c>
      <c r="E7" s="15">
        <v>1100661</v>
      </c>
      <c r="F7" s="23">
        <f t="shared" si="0"/>
        <v>5026128</v>
      </c>
      <c r="G7" s="23">
        <f t="shared" si="1"/>
        <v>4748372</v>
      </c>
      <c r="H7" s="23">
        <f t="shared" si="2"/>
        <v>4200478</v>
      </c>
      <c r="I7" s="24" t="str">
        <f>IF(AND(F7=Regional_Census!F7,G7=Regional_Census!E7,H7=Regional_Census!D7),"OK","CHECK")</f>
        <v>OK</v>
      </c>
    </row>
    <row r="8" spans="1:11" x14ac:dyDescent="0.45">
      <c r="A8" s="19" t="s">
        <v>77</v>
      </c>
      <c r="B8" s="22">
        <f>Regional_Census!G8</f>
        <v>3685744</v>
      </c>
      <c r="C8" s="15">
        <v>234334</v>
      </c>
      <c r="D8" s="15">
        <v>456581</v>
      </c>
      <c r="E8" s="15">
        <v>872585</v>
      </c>
      <c r="F8" s="23">
        <f t="shared" si="0"/>
        <v>3451410</v>
      </c>
      <c r="G8" s="23">
        <f t="shared" si="1"/>
        <v>3229163</v>
      </c>
      <c r="H8" s="23">
        <f t="shared" si="2"/>
        <v>2813159</v>
      </c>
      <c r="I8" s="24" t="str">
        <f>IF(AND(F8=Regional_Census!F8,G8=Regional_Census!E8,H8=Regional_Census!D8),"OK","CHECK")</f>
        <v>OK</v>
      </c>
    </row>
    <row r="9" spans="1:11" x14ac:dyDescent="0.45">
      <c r="A9" s="19" t="s">
        <v>81</v>
      </c>
      <c r="B9" s="22">
        <f>Regional_Census!G9</f>
        <v>12422172</v>
      </c>
      <c r="C9" s="15">
        <v>1203995</v>
      </c>
      <c r="D9" s="15">
        <v>2284435</v>
      </c>
      <c r="E9" s="15">
        <v>4217430</v>
      </c>
      <c r="F9" s="23">
        <f t="shared" si="0"/>
        <v>11218177</v>
      </c>
      <c r="G9" s="23">
        <f t="shared" si="1"/>
        <v>10137737</v>
      </c>
      <c r="H9" s="23">
        <f t="shared" si="2"/>
        <v>8204742</v>
      </c>
      <c r="I9" s="24" t="str">
        <f>IF(AND(F9=Regional_Census!F9,G9=Regional_Census!E9,H9=Regional_Census!D9),"OK","CHECK")</f>
        <v>OK</v>
      </c>
    </row>
    <row r="10" spans="1:11" x14ac:dyDescent="0.45">
      <c r="A10" s="19" t="s">
        <v>84</v>
      </c>
      <c r="B10" s="22">
        <f>Regional_Census!G10</f>
        <v>16195042</v>
      </c>
      <c r="C10" s="15">
        <v>1780268</v>
      </c>
      <c r="D10" s="15">
        <v>3585239</v>
      </c>
      <c r="E10" s="15">
        <v>6874413</v>
      </c>
      <c r="F10" s="23">
        <f t="shared" si="0"/>
        <v>14414774</v>
      </c>
      <c r="G10" s="23">
        <f t="shared" si="1"/>
        <v>12609803</v>
      </c>
      <c r="H10" s="23">
        <f t="shared" si="2"/>
        <v>9320629</v>
      </c>
      <c r="I10" s="24" t="str">
        <f>IF(AND(F10=Regional_Census!F10,G10=Regional_Census!E10,H10=Regional_Census!D10),"OK","CHECK")</f>
        <v>OK</v>
      </c>
    </row>
    <row r="11" spans="1:11" x14ac:dyDescent="0.45">
      <c r="A11" s="19" t="s">
        <v>89</v>
      </c>
      <c r="B11" s="22">
        <f>Regional_Census!G11</f>
        <v>3228558</v>
      </c>
      <c r="C11" s="15">
        <v>265198</v>
      </c>
      <c r="D11" s="15">
        <v>483887</v>
      </c>
      <c r="E11" s="15">
        <v>929329</v>
      </c>
      <c r="F11" s="23">
        <f t="shared" si="0"/>
        <v>2963360</v>
      </c>
      <c r="G11" s="23">
        <f t="shared" si="1"/>
        <v>2744671</v>
      </c>
      <c r="H11" s="23">
        <f t="shared" si="2"/>
        <v>2299229</v>
      </c>
      <c r="I11" s="24" t="str">
        <f>IF(AND(F11=Regional_Census!F11,G11=Regional_Census!E11,H11=Regional_Census!D11),"OK","CHECK")</f>
        <v>OK</v>
      </c>
    </row>
    <row r="12" spans="1:11" x14ac:dyDescent="0.45">
      <c r="A12" s="19" t="s">
        <v>92</v>
      </c>
      <c r="B12" s="22">
        <f>Regional_Census!G12</f>
        <v>6082165</v>
      </c>
      <c r="C12" s="15">
        <v>285176</v>
      </c>
      <c r="D12" s="15">
        <v>661754</v>
      </c>
      <c r="E12" s="15">
        <v>1395496</v>
      </c>
      <c r="F12" s="23">
        <f t="shared" si="0"/>
        <v>5796989</v>
      </c>
      <c r="G12" s="23">
        <f t="shared" si="1"/>
        <v>5420411</v>
      </c>
      <c r="H12" s="23">
        <f t="shared" si="2"/>
        <v>4686669</v>
      </c>
      <c r="I12" s="24" t="str">
        <f>IF(AND(F12=Regional_Census!F12,G12=Regional_Census!E12,H12=Regional_Census!D12),"OK","CHECK")</f>
        <v>OK</v>
      </c>
    </row>
    <row r="13" spans="1:11" x14ac:dyDescent="0.45">
      <c r="A13" s="19" t="s">
        <v>110</v>
      </c>
      <c r="B13" s="22">
        <f>Regional_Census!G16</f>
        <v>4547150</v>
      </c>
      <c r="C13" s="15">
        <v>107000</v>
      </c>
      <c r="D13" s="15">
        <v>445828</v>
      </c>
      <c r="E13" s="15">
        <v>936795</v>
      </c>
      <c r="F13" s="23">
        <f t="shared" si="0"/>
        <v>4440150</v>
      </c>
      <c r="G13" s="23">
        <f t="shared" si="1"/>
        <v>4101322</v>
      </c>
      <c r="H13" s="23">
        <f t="shared" si="2"/>
        <v>3610355</v>
      </c>
      <c r="I13" s="24" t="str">
        <f>IF(AND(F13=Regional_Census!F16,G13=Regional_Census!E16,H13=Regional_Census!D16),"OK","CHECK")</f>
        <v>OK</v>
      </c>
    </row>
    <row r="14" spans="1:11" x14ac:dyDescent="0.45">
      <c r="A14" s="19" t="s">
        <v>114</v>
      </c>
      <c r="B14" s="22">
        <f>Regional_Census!G17</f>
        <v>3875576</v>
      </c>
      <c r="C14" s="15">
        <v>245793</v>
      </c>
      <c r="D14" s="15">
        <v>468223</v>
      </c>
      <c r="E14" s="15">
        <v>1044164</v>
      </c>
      <c r="F14" s="23">
        <f t="shared" si="0"/>
        <v>3629783</v>
      </c>
      <c r="G14" s="23">
        <f t="shared" si="1"/>
        <v>3407353</v>
      </c>
      <c r="H14" s="23">
        <f t="shared" si="2"/>
        <v>2831412</v>
      </c>
      <c r="I14" s="24" t="str">
        <f>IF(AND(F14=Regional_Census!F17,G14=Regional_Census!E17,H14=Regional_Census!D17),"OK","CHECK")</f>
        <v>OK</v>
      </c>
    </row>
    <row r="15" spans="1:11" x14ac:dyDescent="0.45">
      <c r="A15" s="19" t="s">
        <v>118</v>
      </c>
      <c r="B15" s="22">
        <f>Regional_Census!G18</f>
        <v>5022768</v>
      </c>
      <c r="C15" s="15">
        <v>333466</v>
      </c>
      <c r="D15" s="15">
        <v>725445</v>
      </c>
      <c r="E15" s="15">
        <v>1517060</v>
      </c>
      <c r="F15" s="23">
        <f t="shared" si="0"/>
        <v>4689302</v>
      </c>
      <c r="G15" s="23">
        <f t="shared" si="1"/>
        <v>4297323</v>
      </c>
      <c r="H15" s="23">
        <f t="shared" si="2"/>
        <v>3505708</v>
      </c>
      <c r="I15" s="24" t="str">
        <f>IF(AND(F15=Regional_Census!F18,G15=Regional_Census!E18,H15=Regional_Census!D18),"OK","CHECK")</f>
        <v>OK</v>
      </c>
    </row>
    <row r="16" spans="1:11" x14ac:dyDescent="0.45">
      <c r="A16" s="19" t="s">
        <v>121</v>
      </c>
      <c r="B16" s="22">
        <f>Regional_Census!G19</f>
        <v>5243536</v>
      </c>
      <c r="C16" s="15">
        <v>350218</v>
      </c>
      <c r="D16" s="15">
        <v>774973</v>
      </c>
      <c r="E16" s="15">
        <v>1567373</v>
      </c>
      <c r="F16" s="23">
        <f t="shared" si="0"/>
        <v>4893318</v>
      </c>
      <c r="G16" s="23">
        <f t="shared" si="1"/>
        <v>4468563</v>
      </c>
      <c r="H16" s="23">
        <f t="shared" si="2"/>
        <v>3676163</v>
      </c>
      <c r="I16" s="24" t="str">
        <f>IF(AND(F16=Regional_Census!F19,G16=Regional_Census!E19,H16=Regional_Census!D19),"OK","CHECK")</f>
        <v>OK</v>
      </c>
    </row>
    <row r="17" spans="1:9" x14ac:dyDescent="0.45">
      <c r="A17" s="19" t="s">
        <v>124</v>
      </c>
      <c r="B17" s="22">
        <f>Regional_Census!G20</f>
        <v>4901486</v>
      </c>
      <c r="C17" s="15">
        <v>356210</v>
      </c>
      <c r="D17" s="15">
        <v>791915</v>
      </c>
      <c r="E17" s="15">
        <v>1679317</v>
      </c>
      <c r="F17" s="23">
        <f t="shared" si="0"/>
        <v>4545276</v>
      </c>
      <c r="G17" s="23">
        <f t="shared" si="1"/>
        <v>4109571</v>
      </c>
      <c r="H17" s="23">
        <f t="shared" si="2"/>
        <v>3222169</v>
      </c>
      <c r="I17" s="24" t="str">
        <f>IF(AND(F17=Regional_Census!F20,G17=Regional_Census!E20,H17=Regional_Census!D20),"OK","CHECK")</f>
        <v>OK</v>
      </c>
    </row>
    <row r="18" spans="1:9" x14ac:dyDescent="0.45">
      <c r="A18" s="19" t="s">
        <v>129</v>
      </c>
      <c r="B18" s="22">
        <f>Regional_Census!G21</f>
        <v>2804788</v>
      </c>
      <c r="C18" s="15">
        <v>208079</v>
      </c>
      <c r="D18" s="15">
        <v>375564</v>
      </c>
      <c r="E18" s="15">
        <v>709421</v>
      </c>
      <c r="F18" s="23">
        <f t="shared" si="0"/>
        <v>2596709</v>
      </c>
      <c r="G18" s="23">
        <f t="shared" si="1"/>
        <v>2429224</v>
      </c>
      <c r="H18" s="23">
        <f t="shared" si="2"/>
        <v>2095367</v>
      </c>
      <c r="I18" s="24" t="str">
        <f>IF(AND(F18=Regional_Census!F21,G18=Regional_Census!E21,H18=Regional_Census!D21),"OK","CHECK")</f>
        <v>OK</v>
      </c>
    </row>
    <row r="19" spans="1:9" x14ac:dyDescent="0.45">
      <c r="A19" s="7" t="s">
        <v>151</v>
      </c>
    </row>
    <row r="21" spans="1:9" x14ac:dyDescent="0.45">
      <c r="A21" s="11" t="s">
        <v>152</v>
      </c>
    </row>
    <row r="22" spans="1:9" ht="26.25" x14ac:dyDescent="0.45">
      <c r="A22" s="8" t="s">
        <v>53</v>
      </c>
      <c r="B22" s="8" t="s">
        <v>153</v>
      </c>
      <c r="C22" s="8" t="s">
        <v>154</v>
      </c>
      <c r="D22" s="8" t="s">
        <v>155</v>
      </c>
      <c r="E22" s="8" t="s">
        <v>156</v>
      </c>
      <c r="F22" s="8" t="s">
        <v>157</v>
      </c>
      <c r="G22" s="8" t="s">
        <v>158</v>
      </c>
      <c r="H22" s="8" t="s">
        <v>159</v>
      </c>
      <c r="I22" s="8" t="s">
        <v>160</v>
      </c>
    </row>
    <row r="23" spans="1:9" x14ac:dyDescent="0.45">
      <c r="A23" s="24" t="s">
        <v>73</v>
      </c>
      <c r="B23" s="22">
        <f>Regional_Census!H7</f>
        <v>5342453</v>
      </c>
      <c r="C23" s="15">
        <v>41314</v>
      </c>
      <c r="D23" s="15">
        <v>316325</v>
      </c>
      <c r="E23" s="15">
        <v>594081</v>
      </c>
      <c r="F23" s="23">
        <f>B23-C23</f>
        <v>5301139</v>
      </c>
      <c r="G23" s="23">
        <f>B23-D23</f>
        <v>5026128</v>
      </c>
      <c r="H23" s="23">
        <f>B23-E23</f>
        <v>4748372</v>
      </c>
      <c r="I23" s="24" t="str">
        <f>IF(AND(F23=Regional_Census!G7,G23=Regional_Census!F7,H23=Regional_Census!E7),"OK","CHECK")</f>
        <v>OK</v>
      </c>
    </row>
    <row r="24" spans="1:9" x14ac:dyDescent="0.45">
      <c r="A24" s="24" t="s">
        <v>77</v>
      </c>
      <c r="B24" s="22">
        <f>Regional_Census!H8</f>
        <v>3777608</v>
      </c>
      <c r="C24" s="15">
        <v>91864</v>
      </c>
      <c r="D24" s="15">
        <v>326198</v>
      </c>
      <c r="E24" s="15">
        <v>548445</v>
      </c>
      <c r="F24" s="23">
        <f>B24-C24</f>
        <v>3685744</v>
      </c>
      <c r="G24" s="23">
        <f>B24-D24</f>
        <v>3451410</v>
      </c>
      <c r="H24" s="23">
        <f>B24-E24</f>
        <v>3229163</v>
      </c>
      <c r="I24" s="24" t="str">
        <f>IF(AND(F24=Regional_Census!G8,G24=Regional_Census!F8,H24=Regional_Census!E8),"OK","CHECK")</f>
        <v>OK</v>
      </c>
    </row>
    <row r="25" spans="1:9" x14ac:dyDescent="0.45">
      <c r="A25" s="24" t="s">
        <v>92</v>
      </c>
      <c r="B25" s="22">
        <f>Regional_Census!H12</f>
        <v>6064426</v>
      </c>
      <c r="C25" s="15">
        <v>-17739</v>
      </c>
      <c r="D25" s="15">
        <v>267437</v>
      </c>
      <c r="E25" s="15">
        <v>644015</v>
      </c>
      <c r="F25" s="23">
        <f>B25-C25</f>
        <v>6082165</v>
      </c>
      <c r="G25" s="23">
        <f>B25-D25</f>
        <v>5796989</v>
      </c>
      <c r="H25" s="23">
        <f>B25-E25</f>
        <v>5420411</v>
      </c>
      <c r="I25" s="24" t="str">
        <f>IF(AND(F25=Regional_Census!G12,G25=Regional_Census!F12,H25=Regional_Census!E12),"OK","CHECK")</f>
        <v>OK</v>
      </c>
    </row>
    <row r="26" spans="1:9" x14ac:dyDescent="0.45">
      <c r="A26" s="24" t="s">
        <v>110</v>
      </c>
      <c r="B26" s="22">
        <f>Regional_Census!H16</f>
        <v>4625929</v>
      </c>
      <c r="C26" s="15">
        <v>78779</v>
      </c>
      <c r="D26" s="15">
        <v>185779</v>
      </c>
      <c r="E26" s="15">
        <v>524607</v>
      </c>
      <c r="F26" s="23">
        <f>B26-C26</f>
        <v>4547150</v>
      </c>
      <c r="G26" s="23">
        <f>B26-D26</f>
        <v>4440150</v>
      </c>
      <c r="H26" s="23">
        <f>B26-E26</f>
        <v>4101322</v>
      </c>
      <c r="I26" s="24" t="str">
        <f>IF(AND(F26=Regional_Census!G16,G26=Regional_Census!F16,H26=Regional_Census!E16),"OK","CHECK")</f>
        <v>OK</v>
      </c>
    </row>
    <row r="27" spans="1:9" x14ac:dyDescent="0.45">
      <c r="A27" s="7" t="s">
        <v>161</v>
      </c>
    </row>
    <row r="28" spans="1:9" x14ac:dyDescent="0.45">
      <c r="A28" s="7" t="s">
        <v>162</v>
      </c>
    </row>
  </sheetData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25" x14ac:dyDescent="0.45"/>
  <cols>
    <col min="1" max="1" width="10" customWidth="1"/>
    <col min="2" max="2" width="15" customWidth="1"/>
    <col min="3" max="3" width="12" customWidth="1"/>
    <col min="4" max="7" width="16" customWidth="1"/>
  </cols>
  <sheetData>
    <row r="1" spans="1:7" ht="17.649999999999999" x14ac:dyDescent="0.5">
      <c r="A1" s="25" t="s">
        <v>163</v>
      </c>
    </row>
    <row r="2" spans="1:7" ht="54.75" customHeight="1" x14ac:dyDescent="0.45">
      <c r="A2" s="3" t="s">
        <v>164</v>
      </c>
      <c r="B2" s="3"/>
      <c r="C2" s="3"/>
      <c r="D2" s="3"/>
      <c r="E2" s="3"/>
      <c r="F2" s="3"/>
      <c r="G2" s="3"/>
    </row>
    <row r="3" spans="1:7" x14ac:dyDescent="0.45">
      <c r="A3" s="7" t="s">
        <v>165</v>
      </c>
    </row>
    <row r="5" spans="1:7" ht="39.4" x14ac:dyDescent="0.45">
      <c r="A5" s="8" t="s">
        <v>166</v>
      </c>
      <c r="B5" s="8" t="s">
        <v>167</v>
      </c>
      <c r="C5" s="8" t="s">
        <v>168</v>
      </c>
      <c r="D5" s="8" t="s">
        <v>32</v>
      </c>
      <c r="E5" s="8" t="s">
        <v>33</v>
      </c>
      <c r="F5" s="8" t="s">
        <v>34</v>
      </c>
      <c r="G5" s="8" t="s">
        <v>49</v>
      </c>
    </row>
    <row r="6" spans="1:7" x14ac:dyDescent="0.45">
      <c r="A6" s="18" t="s">
        <v>25</v>
      </c>
      <c r="B6" s="26">
        <f>DATE(2000,7,1)</f>
        <v>36708</v>
      </c>
      <c r="C6" s="24">
        <f>MATCH(B6,Island_Group_Summary!$B$5:$F$5,1)</f>
        <v>1</v>
      </c>
      <c r="D6" s="23">
        <f>IF(C6=5,INDEX(Island_Group_Summary!$B$7:$F$7,5),INDEX(Island_Group_Summary!$B$7:$F$7,C6)*(INDEX(Island_Group_Summary!$B$7:$F$7,C6+1)/INDEX(Island_Group_Summary!$B$7:$F$7,C6))^((B6-INDEX(Island_Group_Summary!$B$5:$F$5,C6))/(INDEX(Island_Group_Summary!$B$5:$F$5,C6+1)-INDEX(Island_Group_Summary!$B$5:$F$5,C6))))</f>
        <v>42966982.173840582</v>
      </c>
      <c r="E6" s="23">
        <f>IF(C6=5,INDEX(Island_Group_Summary!$B$8:$F$8,5),INDEX(Island_Group_Summary!$B$8:$F$8,C6)*(INDEX(Island_Group_Summary!$B$8:$F$8,C6+1)/INDEX(Island_Group_Summary!$B$8:$F$8,C6))^((B6-INDEX(Island_Group_Summary!$B$5:$F$5,C6))/(INDEX(Island_Group_Summary!$B$5:$F$5,C6+1)-INDEX(Island_Group_Summary!$B$5:$F$5,C6))))</f>
        <v>15566760.754383866</v>
      </c>
      <c r="F6" s="23">
        <f>IF(C6=5,INDEX(Island_Group_Summary!$B$9:$F$9,5),INDEX(Island_Group_Summary!$B$9:$F$9,C6)*(INDEX(Island_Group_Summary!$B$9:$F$9,C6+1)/INDEX(Island_Group_Summary!$B$9:$F$9,C6))^((B6-INDEX(Island_Group_Summary!$B$5:$F$5,C6))/(INDEX(Island_Group_Summary!$B$5:$F$5,C6+1)-INDEX(Island_Group_Summary!$B$5:$F$5,C6))))</f>
        <v>18192056.204620168</v>
      </c>
      <c r="G6" s="13">
        <f t="shared" ref="G6:G30" si="0">SUM(D6:F6)</f>
        <v>76725799.132844612</v>
      </c>
    </row>
    <row r="7" spans="1:7" x14ac:dyDescent="0.45">
      <c r="A7" s="18" t="s">
        <v>169</v>
      </c>
      <c r="B7" s="26">
        <f>DATE(2001,7,1)</f>
        <v>37073</v>
      </c>
      <c r="C7" s="24">
        <f>MATCH(B7,Island_Group_Summary!$B$5:$F$5,1)</f>
        <v>1</v>
      </c>
      <c r="D7" s="23">
        <f>IF(C7=5,INDEX(Island_Group_Summary!$B$7:$F$7,5),INDEX(Island_Group_Summary!$B$7:$F$7,C7)*(INDEX(Island_Group_Summary!$B$7:$F$7,C7+1)/INDEX(Island_Group_Summary!$B$7:$F$7,C7))^((B7-INDEX(Island_Group_Summary!$B$5:$F$5,C7))/(INDEX(Island_Group_Summary!$B$5:$F$5,C7+1)-INDEX(Island_Group_Summary!$B$5:$F$5,C7))))</f>
        <v>43839433.562942877</v>
      </c>
      <c r="E7" s="23">
        <f>IF(C7=5,INDEX(Island_Group_Summary!$B$8:$F$8,5),INDEX(Island_Group_Summary!$B$8:$F$8,C7)*(INDEX(Island_Group_Summary!$B$8:$F$8,C7+1)/INDEX(Island_Group_Summary!$B$8:$F$8,C7))^((B7-INDEX(Island_Group_Summary!$B$5:$F$5,C7))/(INDEX(Island_Group_Summary!$B$5:$F$5,C7+1)-INDEX(Island_Group_Summary!$B$5:$F$5,C7))))</f>
        <v>15798613.273762342</v>
      </c>
      <c r="F7" s="23">
        <f>IF(C7=5,INDEX(Island_Group_Summary!$B$9:$F$9,5),INDEX(Island_Group_Summary!$B$9:$F$9,C7)*(INDEX(Island_Group_Summary!$B$9:$F$9,C7+1)/INDEX(Island_Group_Summary!$B$9:$F$9,C7))^((B7-INDEX(Island_Group_Summary!$B$5:$F$5,C7))/(INDEX(Island_Group_Summary!$B$5:$F$5,C7+1)-INDEX(Island_Group_Summary!$B$5:$F$5,C7))))</f>
        <v>18544178.011440653</v>
      </c>
      <c r="G7" s="13">
        <f t="shared" si="0"/>
        <v>78182224.848145872</v>
      </c>
    </row>
    <row r="8" spans="1:7" x14ac:dyDescent="0.45">
      <c r="A8" s="18" t="s">
        <v>170</v>
      </c>
      <c r="B8" s="26">
        <f>DATE(2002,7,1)</f>
        <v>37438</v>
      </c>
      <c r="C8" s="24">
        <f>MATCH(B8,Island_Group_Summary!$B$5:$F$5,1)</f>
        <v>1</v>
      </c>
      <c r="D8" s="23">
        <f>IF(C8=5,INDEX(Island_Group_Summary!$B$7:$F$7,5),INDEX(Island_Group_Summary!$B$7:$F$7,C8)*(INDEX(Island_Group_Summary!$B$7:$F$7,C8+1)/INDEX(Island_Group_Summary!$B$7:$F$7,C8))^((B8-INDEX(Island_Group_Summary!$B$5:$F$5,C8))/(INDEX(Island_Group_Summary!$B$5:$F$5,C8+1)-INDEX(Island_Group_Summary!$B$5:$F$5,C8))))</f>
        <v>44729600.21590212</v>
      </c>
      <c r="E8" s="23">
        <f>IF(C8=5,INDEX(Island_Group_Summary!$B$8:$F$8,5),INDEX(Island_Group_Summary!$B$8:$F$8,C8)*(INDEX(Island_Group_Summary!$B$8:$F$8,C8+1)/INDEX(Island_Group_Summary!$B$8:$F$8,C8))^((B8-INDEX(Island_Group_Summary!$B$5:$F$5,C8))/(INDEX(Island_Group_Summary!$B$5:$F$5,C8+1)-INDEX(Island_Group_Summary!$B$5:$F$5,C8))))</f>
        <v>16033919.02220949</v>
      </c>
      <c r="F8" s="23">
        <f>IF(C8=5,INDEX(Island_Group_Summary!$B$9:$F$9,5),INDEX(Island_Group_Summary!$B$9:$F$9,C8)*(INDEX(Island_Group_Summary!$B$9:$F$9,C8+1)/INDEX(Island_Group_Summary!$B$9:$F$9,C8))^((B8-INDEX(Island_Group_Summary!$B$5:$F$5,C8))/(INDEX(Island_Group_Summary!$B$5:$F$5,C8+1)-INDEX(Island_Group_Summary!$B$5:$F$5,C8))))</f>
        <v>18903115.417632859</v>
      </c>
      <c r="G8" s="13">
        <f t="shared" si="0"/>
        <v>79666634.655744463</v>
      </c>
    </row>
    <row r="9" spans="1:7" x14ac:dyDescent="0.45">
      <c r="A9" s="18" t="s">
        <v>171</v>
      </c>
      <c r="B9" s="26">
        <f>DATE(2003,7,1)</f>
        <v>37803</v>
      </c>
      <c r="C9" s="24">
        <f>MATCH(B9,Island_Group_Summary!$B$5:$F$5,1)</f>
        <v>1</v>
      </c>
      <c r="D9" s="23">
        <f>IF(C9=5,INDEX(Island_Group_Summary!$B$7:$F$7,5),INDEX(Island_Group_Summary!$B$7:$F$7,C9)*(INDEX(Island_Group_Summary!$B$7:$F$7,C9+1)/INDEX(Island_Group_Summary!$B$7:$F$7,C9))^((B9-INDEX(Island_Group_Summary!$B$5:$F$5,C9))/(INDEX(Island_Group_Summary!$B$5:$F$5,C9+1)-INDEX(Island_Group_Summary!$B$5:$F$5,C9))))</f>
        <v>45637841.843961194</v>
      </c>
      <c r="E9" s="23">
        <f>IF(C9=5,INDEX(Island_Group_Summary!$B$8:$F$8,5),INDEX(Island_Group_Summary!$B$8:$F$8,C9)*(INDEX(Island_Group_Summary!$B$8:$F$8,C9+1)/INDEX(Island_Group_Summary!$B$8:$F$8,C9))^((B9-INDEX(Island_Group_Summary!$B$5:$F$5,C9))/(INDEX(Island_Group_Summary!$B$5:$F$5,C9+1)-INDEX(Island_Group_Summary!$B$5:$F$5,C9))))</f>
        <v>16272729.432381868</v>
      </c>
      <c r="F9" s="23">
        <f>IF(C9=5,INDEX(Island_Group_Summary!$B$9:$F$9,5),INDEX(Island_Group_Summary!$B$9:$F$9,C9)*(INDEX(Island_Group_Summary!$B$9:$F$9,C9+1)/INDEX(Island_Group_Summary!$B$9:$F$9,C9))^((B9-INDEX(Island_Group_Summary!$B$5:$F$5,C9))/(INDEX(Island_Group_Summary!$B$5:$F$5,C9+1)-INDEX(Island_Group_Summary!$B$5:$F$5,C9))))</f>
        <v>19269000.3445771</v>
      </c>
      <c r="G9" s="13">
        <f t="shared" si="0"/>
        <v>81179571.620920166</v>
      </c>
    </row>
    <row r="10" spans="1:7" x14ac:dyDescent="0.45">
      <c r="A10" s="18" t="s">
        <v>172</v>
      </c>
      <c r="B10" s="26">
        <f>DATE(2004,7,1)</f>
        <v>38169</v>
      </c>
      <c r="C10" s="24">
        <f>MATCH(B10,Island_Group_Summary!$B$5:$F$5,1)</f>
        <v>1</v>
      </c>
      <c r="D10" s="23">
        <f>IF(C10=5,INDEX(Island_Group_Summary!$B$7:$F$7,5),INDEX(Island_Group_Summary!$B$7:$F$7,C10)*(INDEX(Island_Group_Summary!$B$7:$F$7,C10+1)/INDEX(Island_Group_Summary!$B$7:$F$7,C10))^((B10-INDEX(Island_Group_Summary!$B$5:$F$5,C10))/(INDEX(Island_Group_Summary!$B$5:$F$5,C10+1)-INDEX(Island_Group_Summary!$B$5:$F$5,C10))))</f>
        <v>46567089.995461226</v>
      </c>
      <c r="E10" s="23">
        <f>IF(C10=5,INDEX(Island_Group_Summary!$B$8:$F$8,5),INDEX(Island_Group_Summary!$B$8:$F$8,C10)*(INDEX(Island_Group_Summary!$B$8:$F$8,C10+1)/INDEX(Island_Group_Summary!$B$8:$F$8,C10))^((B10-INDEX(Island_Group_Summary!$B$5:$F$5,C10))/(INDEX(Island_Group_Summary!$B$5:$F$5,C10+1)-INDEX(Island_Group_Summary!$B$5:$F$5,C10))))</f>
        <v>16515765.657057716</v>
      </c>
      <c r="F10" s="23">
        <f>IF(C10=5,INDEX(Island_Group_Summary!$B$9:$F$9,5),INDEX(Island_Group_Summary!$B$9:$F$9,C10)*(INDEX(Island_Group_Summary!$B$9:$F$9,C10+1)/INDEX(Island_Group_Summary!$B$9:$F$9,C10))^((B10-INDEX(Island_Group_Summary!$B$5:$F$5,C10))/(INDEX(Island_Group_Summary!$B$5:$F$5,C10+1)-INDEX(Island_Group_Summary!$B$5:$F$5,C10))))</f>
        <v>19642998.947323557</v>
      </c>
      <c r="G10" s="13">
        <f t="shared" si="0"/>
        <v>82725854.599842504</v>
      </c>
    </row>
    <row r="11" spans="1:7" x14ac:dyDescent="0.45">
      <c r="A11" s="18" t="s">
        <v>173</v>
      </c>
      <c r="B11" s="26">
        <f>DATE(2005,7,1)</f>
        <v>38534</v>
      </c>
      <c r="C11" s="24">
        <f>MATCH(B11,Island_Group_Summary!$B$5:$F$5,1)</f>
        <v>1</v>
      </c>
      <c r="D11" s="23">
        <f>IF(C11=5,INDEX(Island_Group_Summary!$B$7:$F$7,5),INDEX(Island_Group_Summary!$B$7:$F$7,C11)*(INDEX(Island_Group_Summary!$B$7:$F$7,C11+1)/INDEX(Island_Group_Summary!$B$7:$F$7,C11))^((B11-INDEX(Island_Group_Summary!$B$5:$F$5,C11))/(INDEX(Island_Group_Summary!$B$5:$F$5,C11+1)-INDEX(Island_Group_Summary!$B$5:$F$5,C11))))</f>
        <v>47512642.144984238</v>
      </c>
      <c r="E11" s="23">
        <f>IF(C11=5,INDEX(Island_Group_Summary!$B$8:$F$8,5),INDEX(Island_Group_Summary!$B$8:$F$8,C11)*(INDEX(Island_Group_Summary!$B$8:$F$8,C11+1)/INDEX(Island_Group_Summary!$B$8:$F$8,C11))^((B11-INDEX(Island_Group_Summary!$B$5:$F$5,C11))/(INDEX(Island_Group_Summary!$B$5:$F$5,C11+1)-INDEX(Island_Group_Summary!$B$5:$F$5,C11))))</f>
        <v>16761752.727680285</v>
      </c>
      <c r="F11" s="23">
        <f>IF(C11=5,INDEX(Island_Group_Summary!$B$9:$F$9,5),INDEX(Island_Group_Summary!$B$9:$F$9,C11)*(INDEX(Island_Group_Summary!$B$9:$F$9,C11+1)/INDEX(Island_Group_Summary!$B$9:$F$9,C11))^((B11-INDEX(Island_Group_Summary!$B$5:$F$5,C11))/(INDEX(Island_Group_Summary!$B$5:$F$5,C11+1)-INDEX(Island_Group_Summary!$B$5:$F$5,C11))))</f>
        <v>20023204.912108768</v>
      </c>
      <c r="G11" s="13">
        <f t="shared" si="0"/>
        <v>84297599.78477329</v>
      </c>
    </row>
    <row r="12" spans="1:7" x14ac:dyDescent="0.45">
      <c r="A12" s="18" t="s">
        <v>174</v>
      </c>
      <c r="B12" s="26">
        <f>DATE(2006,7,1)</f>
        <v>38899</v>
      </c>
      <c r="C12" s="24">
        <f>MATCH(B12,Island_Group_Summary!$B$5:$F$5,1)</f>
        <v>1</v>
      </c>
      <c r="D12" s="23">
        <f>IF(C12=5,INDEX(Island_Group_Summary!$B$7:$F$7,5),INDEX(Island_Group_Summary!$B$7:$F$7,C12)*(INDEX(Island_Group_Summary!$B$7:$F$7,C12+1)/INDEX(Island_Group_Summary!$B$7:$F$7,C12))^((B12-INDEX(Island_Group_Summary!$B$5:$F$5,C12))/(INDEX(Island_Group_Summary!$B$5:$F$5,C12+1)-INDEX(Island_Group_Summary!$B$5:$F$5,C12))))</f>
        <v>48477393.88090086</v>
      </c>
      <c r="E12" s="23">
        <f>IF(C12=5,INDEX(Island_Group_Summary!$B$8:$F$8,5),INDEX(Island_Group_Summary!$B$8:$F$8,C12)*(INDEX(Island_Group_Summary!$B$8:$F$8,C12+1)/INDEX(Island_Group_Summary!$B$8:$F$8,C12))^((B12-INDEX(Island_Group_Summary!$B$5:$F$5,C12))/(INDEX(Island_Group_Summary!$B$5:$F$5,C12+1)-INDEX(Island_Group_Summary!$B$5:$F$5,C12))))</f>
        <v>17011403.548453465</v>
      </c>
      <c r="F12" s="23">
        <f>IF(C12=5,INDEX(Island_Group_Summary!$B$9:$F$9,5),INDEX(Island_Group_Summary!$B$9:$F$9,C12)*(INDEX(Island_Group_Summary!$B$9:$F$9,C12+1)/INDEX(Island_Group_Summary!$B$9:$F$9,C12))^((B12-INDEX(Island_Group_Summary!$B$5:$F$5,C12))/(INDEX(Island_Group_Summary!$B$5:$F$5,C12+1)-INDEX(Island_Group_Summary!$B$5:$F$5,C12))))</f>
        <v>20410770.067618672</v>
      </c>
      <c r="G12" s="13">
        <f t="shared" si="0"/>
        <v>85899567.496972993</v>
      </c>
    </row>
    <row r="13" spans="1:7" x14ac:dyDescent="0.45">
      <c r="A13" s="18" t="s">
        <v>175</v>
      </c>
      <c r="B13" s="26">
        <f>DATE(2007,7,1)</f>
        <v>39264</v>
      </c>
      <c r="C13" s="24">
        <f>MATCH(B13,Island_Group_Summary!$B$5:$F$5,1)</f>
        <v>1</v>
      </c>
      <c r="D13" s="23">
        <f>IF(C13=5,INDEX(Island_Group_Summary!$B$7:$F$7,5),INDEX(Island_Group_Summary!$B$7:$F$7,C13)*(INDEX(Island_Group_Summary!$B$7:$F$7,C13+1)/INDEX(Island_Group_Summary!$B$7:$F$7,C13))^((B13-INDEX(Island_Group_Summary!$B$5:$F$5,C13))/(INDEX(Island_Group_Summary!$B$5:$F$5,C13+1)-INDEX(Island_Group_Summary!$B$5:$F$5,C13))))</f>
        <v>49461735.053858563</v>
      </c>
      <c r="E13" s="23">
        <f>IF(C13=5,INDEX(Island_Group_Summary!$B$8:$F$8,5),INDEX(Island_Group_Summary!$B$8:$F$8,C13)*(INDEX(Island_Group_Summary!$B$8:$F$8,C13+1)/INDEX(Island_Group_Summary!$B$8:$F$8,C13))^((B13-INDEX(Island_Group_Summary!$B$5:$F$5,C13))/(INDEX(Island_Group_Summary!$B$5:$F$5,C13+1)-INDEX(Island_Group_Summary!$B$5:$F$5,C13))))</f>
        <v>17264772.687550828</v>
      </c>
      <c r="F13" s="23">
        <f>IF(C13=5,INDEX(Island_Group_Summary!$B$9:$F$9,5),INDEX(Island_Group_Summary!$B$9:$F$9,C13)*(INDEX(Island_Group_Summary!$B$9:$F$9,C13+1)/INDEX(Island_Group_Summary!$B$9:$F$9,C13))^((B13-INDEX(Island_Group_Summary!$B$5:$F$5,C13))/(INDEX(Island_Group_Summary!$B$5:$F$5,C13+1)-INDEX(Island_Group_Summary!$B$5:$F$5,C13))))</f>
        <v>20805836.856879253</v>
      </c>
      <c r="G13" s="13">
        <f t="shared" si="0"/>
        <v>87532344.59828864</v>
      </c>
    </row>
    <row r="14" spans="1:7" x14ac:dyDescent="0.45">
      <c r="A14" s="18" t="s">
        <v>176</v>
      </c>
      <c r="B14" s="26">
        <f>DATE(2008,7,1)</f>
        <v>39630</v>
      </c>
      <c r="C14" s="24">
        <f>MATCH(B14,Island_Group_Summary!$B$5:$F$5,1)</f>
        <v>1</v>
      </c>
      <c r="D14" s="23">
        <f>IF(C14=5,INDEX(Island_Group_Summary!$B$7:$F$7,5),INDEX(Island_Group_Summary!$B$7:$F$7,C14)*(INDEX(Island_Group_Summary!$B$7:$F$7,C14+1)/INDEX(Island_Group_Summary!$B$7:$F$7,C14))^((B14-INDEX(Island_Group_Summary!$B$5:$F$5,C14))/(INDEX(Island_Group_Summary!$B$5:$F$5,C14+1)-INDEX(Island_Group_Summary!$B$5:$F$5,C14))))</f>
        <v>50468842.840110384</v>
      </c>
      <c r="E14" s="23">
        <f>IF(C14=5,INDEX(Island_Group_Summary!$B$8:$F$8,5),INDEX(Island_Group_Summary!$B$8:$F$8,C14)*(INDEX(Island_Group_Summary!$B$8:$F$8,C14+1)/INDEX(Island_Group_Summary!$B$8:$F$8,C14))^((B14-INDEX(Island_Group_Summary!$B$5:$F$5,C14))/(INDEX(Island_Group_Summary!$B$5:$F$5,C14+1)-INDEX(Island_Group_Summary!$B$5:$F$5,C14))))</f>
        <v>17522625.261779662</v>
      </c>
      <c r="F14" s="23">
        <f>IF(C14=5,INDEX(Island_Group_Summary!$B$9:$F$9,5),INDEX(Island_Group_Summary!$B$9:$F$9,C14)*(INDEX(Island_Group_Summary!$B$9:$F$9,C14+1)/INDEX(Island_Group_Summary!$B$9:$F$9,C14))^((B14-INDEX(Island_Group_Summary!$B$5:$F$5,C14))/(INDEX(Island_Group_Summary!$B$5:$F$5,C14+1)-INDEX(Island_Group_Summary!$B$5:$F$5,C14))))</f>
        <v>21209664.443899535</v>
      </c>
      <c r="G14" s="13">
        <f t="shared" si="0"/>
        <v>89201132.54578957</v>
      </c>
    </row>
    <row r="15" spans="1:7" x14ac:dyDescent="0.45">
      <c r="A15" s="18" t="s">
        <v>177</v>
      </c>
      <c r="B15" s="26">
        <f>DATE(2009,7,1)</f>
        <v>39995</v>
      </c>
      <c r="C15" s="24">
        <f>MATCH(B15,Island_Group_Summary!$B$5:$F$5,1)</f>
        <v>1</v>
      </c>
      <c r="D15" s="23">
        <f>IF(C15=5,INDEX(Island_Group_Summary!$B$7:$F$7,5),INDEX(Island_Group_Summary!$B$7:$F$7,C15)*(INDEX(Island_Group_Summary!$B$7:$F$7,C15+1)/INDEX(Island_Group_Summary!$B$7:$F$7,C15))^((B15-INDEX(Island_Group_Summary!$B$5:$F$5,C15))/(INDEX(Island_Group_Summary!$B$5:$F$5,C15+1)-INDEX(Island_Group_Summary!$B$5:$F$5,C15))))</f>
        <v>51493620.700098127</v>
      </c>
      <c r="E15" s="23">
        <f>IF(C15=5,INDEX(Island_Group_Summary!$B$8:$F$8,5),INDEX(Island_Group_Summary!$B$8:$F$8,C15)*(INDEX(Island_Group_Summary!$B$8:$F$8,C15+1)/INDEX(Island_Group_Summary!$B$8:$F$8,C15))^((B15-INDEX(Island_Group_Summary!$B$5:$F$5,C15))/(INDEX(Island_Group_Summary!$B$5:$F$5,C15+1)-INDEX(Island_Group_Summary!$B$5:$F$5,C15))))</f>
        <v>17783608.575981651</v>
      </c>
      <c r="F15" s="23">
        <f>IF(C15=5,INDEX(Island_Group_Summary!$B$9:$F$9,5),INDEX(Island_Group_Summary!$B$9:$F$9,C15)*(INDEX(Island_Group_Summary!$B$9:$F$9,C15+1)/INDEX(Island_Group_Summary!$B$9:$F$9,C15))^((B15-INDEX(Island_Group_Summary!$B$5:$F$5,C15))/(INDEX(Island_Group_Summary!$B$5:$F$5,C15+1)-INDEX(Island_Group_Summary!$B$5:$F$5,C15))))</f>
        <v>21620194.473162819</v>
      </c>
      <c r="G15" s="13">
        <f t="shared" si="0"/>
        <v>90897423.749242589</v>
      </c>
    </row>
    <row r="16" spans="1:7" x14ac:dyDescent="0.45">
      <c r="A16" s="18" t="s">
        <v>26</v>
      </c>
      <c r="B16" s="26">
        <f>DATE(2010,7,1)</f>
        <v>40360</v>
      </c>
      <c r="C16" s="24">
        <f>MATCH(B16,Island_Group_Summary!$B$5:$F$5,1)</f>
        <v>2</v>
      </c>
      <c r="D16" s="23">
        <f>IF(C16=5,INDEX(Island_Group_Summary!$B$7:$F$7,5),INDEX(Island_Group_Summary!$B$7:$F$7,C16)*(INDEX(Island_Group_Summary!$B$7:$F$7,C16+1)/INDEX(Island_Group_Summary!$B$7:$F$7,C16))^((B16-INDEX(Island_Group_Summary!$B$5:$F$5,C16))/(INDEX(Island_Group_Summary!$B$5:$F$5,C16+1)-INDEX(Island_Group_Summary!$B$5:$F$5,C16))))</f>
        <v>52518213.709140614</v>
      </c>
      <c r="E16" s="23">
        <f>IF(C16=5,INDEX(Island_Group_Summary!$B$8:$F$8,5),INDEX(Island_Group_Summary!$B$8:$F$8,C16)*(INDEX(Island_Group_Summary!$B$8:$F$8,C16+1)/INDEX(Island_Group_Summary!$B$8:$F$8,C16))^((B16-INDEX(Island_Group_Summary!$B$5:$F$5,C16))/(INDEX(Island_Group_Summary!$B$5:$F$5,C16+1)-INDEX(Island_Group_Summary!$B$5:$F$5,C16))))</f>
        <v>18045967.162691437</v>
      </c>
      <c r="F16" s="23">
        <f>IF(C16=5,INDEX(Island_Group_Summary!$B$9:$F$9,5),INDEX(Island_Group_Summary!$B$9:$F$9,C16)*(INDEX(Island_Group_Summary!$B$9:$F$9,C16+1)/INDEX(Island_Group_Summary!$B$9:$F$9,C16))^((B16-INDEX(Island_Group_Summary!$B$5:$F$5,C16))/(INDEX(Island_Group_Summary!$B$5:$F$5,C16+1)-INDEX(Island_Group_Summary!$B$5:$F$5,C16))))</f>
        <v>22034018.08102883</v>
      </c>
      <c r="G16" s="13">
        <f t="shared" si="0"/>
        <v>92598198.952860877</v>
      </c>
    </row>
    <row r="17" spans="1:7" x14ac:dyDescent="0.45">
      <c r="A17" s="18" t="s">
        <v>178</v>
      </c>
      <c r="B17" s="26">
        <f>DATE(2011,7,1)</f>
        <v>40725</v>
      </c>
      <c r="C17" s="24">
        <f>MATCH(B17,Island_Group_Summary!$B$5:$F$5,1)</f>
        <v>2</v>
      </c>
      <c r="D17" s="23">
        <f>IF(C17=5,INDEX(Island_Group_Summary!$B$7:$F$7,5),INDEX(Island_Group_Summary!$B$7:$F$7,C17)*(INDEX(Island_Group_Summary!$B$7:$F$7,C17+1)/INDEX(Island_Group_Summary!$B$7:$F$7,C17))^((B17-INDEX(Island_Group_Summary!$B$5:$F$5,C17))/(INDEX(Island_Group_Summary!$B$5:$F$5,C17+1)-INDEX(Island_Group_Summary!$B$5:$F$5,C17))))</f>
        <v>53456617.827227831</v>
      </c>
      <c r="E17" s="23">
        <f>IF(C17=5,INDEX(Island_Group_Summary!$B$8:$F$8,5),INDEX(Island_Group_Summary!$B$8:$F$8,C17)*(INDEX(Island_Group_Summary!$B$8:$F$8,C17+1)/INDEX(Island_Group_Summary!$B$8:$F$8,C17))^((B17-INDEX(Island_Group_Summary!$B$5:$F$5,C17))/(INDEX(Island_Group_Summary!$B$5:$F$5,C17+1)-INDEX(Island_Group_Summary!$B$5:$F$5,C17))))</f>
        <v>18299498.907243133</v>
      </c>
      <c r="F17" s="23">
        <f>IF(C17=5,INDEX(Island_Group_Summary!$B$9:$F$9,5),INDEX(Island_Group_Summary!$B$9:$F$9,C17)*(INDEX(Island_Group_Summary!$B$9:$F$9,C17+1)/INDEX(Island_Group_Summary!$B$9:$F$9,C17))^((B17-INDEX(Island_Group_Summary!$B$5:$F$5,C17))/(INDEX(Island_Group_Summary!$B$5:$F$5,C17+1)-INDEX(Island_Group_Summary!$B$5:$F$5,C17))))</f>
        <v>22432147.117958482</v>
      </c>
      <c r="G17" s="13">
        <f t="shared" si="0"/>
        <v>94188263.85242945</v>
      </c>
    </row>
    <row r="18" spans="1:7" x14ac:dyDescent="0.45">
      <c r="A18" s="18" t="s">
        <v>179</v>
      </c>
      <c r="B18" s="26">
        <f>DATE(2012,7,1)</f>
        <v>41091</v>
      </c>
      <c r="C18" s="24">
        <f>MATCH(B18,Island_Group_Summary!$B$5:$F$5,1)</f>
        <v>2</v>
      </c>
      <c r="D18" s="23">
        <f>IF(C18=5,INDEX(Island_Group_Summary!$B$7:$F$7,5),INDEX(Island_Group_Summary!$B$7:$F$7,C18)*(INDEX(Island_Group_Summary!$B$7:$F$7,C18+1)/INDEX(Island_Group_Summary!$B$7:$F$7,C18))^((B18-INDEX(Island_Group_Summary!$B$5:$F$5,C18))/(INDEX(Island_Group_Summary!$B$5:$F$5,C18+1)-INDEX(Island_Group_Summary!$B$5:$F$5,C18))))</f>
        <v>54414429.719531454</v>
      </c>
      <c r="E18" s="23">
        <f>IF(C18=5,INDEX(Island_Group_Summary!$B$8:$F$8,5),INDEX(Island_Group_Summary!$B$8:$F$8,C18)*(INDEX(Island_Group_Summary!$B$8:$F$8,C18+1)/INDEX(Island_Group_Summary!$B$8:$F$8,C18))^((B18-INDEX(Island_Group_Summary!$B$5:$F$5,C18))/(INDEX(Island_Group_Summary!$B$5:$F$5,C18+1)-INDEX(Island_Group_Summary!$B$5:$F$5,C18))))</f>
        <v>18557301.879450843</v>
      </c>
      <c r="F18" s="23">
        <f>IF(C18=5,INDEX(Island_Group_Summary!$B$9:$F$9,5),INDEX(Island_Group_Summary!$B$9:$F$9,C18)*(INDEX(Island_Group_Summary!$B$9:$F$9,C18+1)/INDEX(Island_Group_Summary!$B$9:$F$9,C18))^((B18-INDEX(Island_Group_Summary!$B$5:$F$5,C18))/(INDEX(Island_Group_Summary!$B$5:$F$5,C18+1)-INDEX(Island_Group_Summary!$B$5:$F$5,C18))))</f>
        <v>22838590.356171016</v>
      </c>
      <c r="G18" s="13">
        <f t="shared" si="0"/>
        <v>95810321.955153316</v>
      </c>
    </row>
    <row r="19" spans="1:7" x14ac:dyDescent="0.45">
      <c r="A19" s="18" t="s">
        <v>180</v>
      </c>
      <c r="B19" s="26">
        <f>DATE(2013,7,1)</f>
        <v>41456</v>
      </c>
      <c r="C19" s="24">
        <f>MATCH(B19,Island_Group_Summary!$B$5:$F$5,1)</f>
        <v>2</v>
      </c>
      <c r="D19" s="23">
        <f>IF(C19=5,INDEX(Island_Group_Summary!$B$7:$F$7,5),INDEX(Island_Group_Summary!$B$7:$F$7,C19)*(INDEX(Island_Group_Summary!$B$7:$F$7,C19+1)/INDEX(Island_Group_Summary!$B$7:$F$7,C19))^((B19-INDEX(Island_Group_Summary!$B$5:$F$5,C19))/(INDEX(Island_Group_Summary!$B$5:$F$5,C19+1)-INDEX(Island_Group_Summary!$B$5:$F$5,C19))))</f>
        <v>55386715.738530017</v>
      </c>
      <c r="E19" s="23">
        <f>IF(C19=5,INDEX(Island_Group_Summary!$B$8:$F$8,5),INDEX(Island_Group_Summary!$B$8:$F$8,C19)*(INDEX(Island_Group_Summary!$B$8:$F$8,C19+1)/INDEX(Island_Group_Summary!$B$8:$F$8,C19))^((B19-INDEX(Island_Group_Summary!$B$5:$F$5,C19))/(INDEX(Island_Group_Summary!$B$5:$F$5,C19+1)-INDEX(Island_Group_Summary!$B$5:$F$5,C19))))</f>
        <v>18818017.47741539</v>
      </c>
      <c r="F19" s="23">
        <f>IF(C19=5,INDEX(Island_Group_Summary!$B$9:$F$9,5),INDEX(Island_Group_Summary!$B$9:$F$9,C19)*(INDEX(Island_Group_Summary!$B$9:$F$9,C19+1)/INDEX(Island_Group_Summary!$B$9:$F$9,C19))^((B19-INDEX(Island_Group_Summary!$B$5:$F$5,C19))/(INDEX(Island_Group_Summary!$B$5:$F$5,C19+1)-INDEX(Island_Group_Summary!$B$5:$F$5,C19))))</f>
        <v>23251257.076779824</v>
      </c>
      <c r="G19" s="13">
        <f t="shared" si="0"/>
        <v>97455990.292725235</v>
      </c>
    </row>
    <row r="20" spans="1:7" x14ac:dyDescent="0.45">
      <c r="A20" s="18" t="s">
        <v>181</v>
      </c>
      <c r="B20" s="26">
        <f>DATE(2014,7,1)</f>
        <v>41821</v>
      </c>
      <c r="C20" s="24">
        <f>MATCH(B20,Island_Group_Summary!$B$5:$F$5,1)</f>
        <v>2</v>
      </c>
      <c r="D20" s="23">
        <f>IF(C20=5,INDEX(Island_Group_Summary!$B$7:$F$7,5),INDEX(Island_Group_Summary!$B$7:$F$7,C20)*(INDEX(Island_Group_Summary!$B$7:$F$7,C20+1)/INDEX(Island_Group_Summary!$B$7:$F$7,C20))^((B20-INDEX(Island_Group_Summary!$B$5:$F$5,C20))/(INDEX(Island_Group_Summary!$B$5:$F$5,C20+1)-INDEX(Island_Group_Summary!$B$5:$F$5,C20))))</f>
        <v>56376374.724728867</v>
      </c>
      <c r="E20" s="23">
        <f>IF(C20=5,INDEX(Island_Group_Summary!$B$8:$F$8,5),INDEX(Island_Group_Summary!$B$8:$F$8,C20)*(INDEX(Island_Group_Summary!$B$8:$F$8,C20+1)/INDEX(Island_Group_Summary!$B$8:$F$8,C20))^((B20-INDEX(Island_Group_Summary!$B$5:$F$5,C20))/(INDEX(Island_Group_Summary!$B$5:$F$5,C20+1)-INDEX(Island_Group_Summary!$B$5:$F$5,C20))))</f>
        <v>19082395.925909799</v>
      </c>
      <c r="F20" s="23">
        <f>IF(C20=5,INDEX(Island_Group_Summary!$B$9:$F$9,5),INDEX(Island_Group_Summary!$B$9:$F$9,C20)*(INDEX(Island_Group_Summary!$B$9:$F$9,C20+1)/INDEX(Island_Group_Summary!$B$9:$F$9,C20))^((B20-INDEX(Island_Group_Summary!$B$5:$F$5,C20))/(INDEX(Island_Group_Summary!$B$5:$F$5,C20+1)-INDEX(Island_Group_Summary!$B$5:$F$5,C20))))</f>
        <v>23671380.20427024</v>
      </c>
      <c r="G20" s="13">
        <f t="shared" si="0"/>
        <v>99130150.854908913</v>
      </c>
    </row>
    <row r="21" spans="1:7" x14ac:dyDescent="0.45">
      <c r="A21" s="18" t="s">
        <v>27</v>
      </c>
      <c r="B21" s="26">
        <f>DATE(2015,7,1)</f>
        <v>42186</v>
      </c>
      <c r="C21" s="24">
        <f>MATCH(B21,Island_Group_Summary!$B$5:$F$5,1)</f>
        <v>2</v>
      </c>
      <c r="D21" s="23">
        <f>IF(C21=5,INDEX(Island_Group_Summary!$B$7:$F$7,5),INDEX(Island_Group_Summary!$B$7:$F$7,C21)*(INDEX(Island_Group_Summary!$B$7:$F$7,C21+1)/INDEX(Island_Group_Summary!$B$7:$F$7,C21))^((B21-INDEX(Island_Group_Summary!$B$5:$F$5,C21))/(INDEX(Island_Group_Summary!$B$5:$F$5,C21+1)-INDEX(Island_Group_Summary!$B$5:$F$5,C21))))</f>
        <v>57383717.1011758</v>
      </c>
      <c r="E21" s="23">
        <f>IF(C21=5,INDEX(Island_Group_Summary!$B$8:$F$8,5),INDEX(Island_Group_Summary!$B$8:$F$8,C21)*(INDEX(Island_Group_Summary!$B$8:$F$8,C21+1)/INDEX(Island_Group_Summary!$B$8:$F$8,C21))^((B21-INDEX(Island_Group_Summary!$B$5:$F$5,C21))/(INDEX(Island_Group_Summary!$B$5:$F$5,C21+1)-INDEX(Island_Group_Summary!$B$5:$F$5,C21))))</f>
        <v>19350488.685123298</v>
      </c>
      <c r="F21" s="23">
        <f>IF(C21=5,INDEX(Island_Group_Summary!$B$9:$F$9,5),INDEX(Island_Group_Summary!$B$9:$F$9,C21)*(INDEX(Island_Group_Summary!$B$9:$F$9,C21+1)/INDEX(Island_Group_Summary!$B$9:$F$9,C21))^((B21-INDEX(Island_Group_Summary!$B$5:$F$5,C21))/(INDEX(Island_Group_Summary!$B$5:$F$5,C21+1)-INDEX(Island_Group_Summary!$B$5:$F$5,C21))))</f>
        <v>24099094.46722785</v>
      </c>
      <c r="G21" s="13">
        <f t="shared" si="0"/>
        <v>100833300.25352694</v>
      </c>
    </row>
    <row r="22" spans="1:7" x14ac:dyDescent="0.45">
      <c r="A22" s="18" t="s">
        <v>182</v>
      </c>
      <c r="B22" s="26">
        <f>DATE(2016,7,1)</f>
        <v>42552</v>
      </c>
      <c r="C22" s="24">
        <f>MATCH(B22,Island_Group_Summary!$B$5:$F$5,1)</f>
        <v>3</v>
      </c>
      <c r="D22" s="23">
        <f>IF(C22=5,INDEX(Island_Group_Summary!$B$7:$F$7,5),INDEX(Island_Group_Summary!$B$7:$F$7,C22)*(INDEX(Island_Group_Summary!$B$7:$F$7,C22+1)/INDEX(Island_Group_Summary!$B$7:$F$7,C22))^((B22-INDEX(Island_Group_Summary!$B$5:$F$5,C22))/(INDEX(Island_Group_Summary!$B$5:$F$5,C22+1)-INDEX(Island_Group_Summary!$B$5:$F$5,C22))))</f>
        <v>58353905.76931756</v>
      </c>
      <c r="E22" s="23">
        <f>IF(C22=5,INDEX(Island_Group_Summary!$B$8:$F$8,5),INDEX(Island_Group_Summary!$B$8:$F$8,C22)*(INDEX(Island_Group_Summary!$B$8:$F$8,C22+1)/INDEX(Island_Group_Summary!$B$8:$F$8,C22))^((B22-INDEX(Island_Group_Summary!$B$5:$F$5,C22))/(INDEX(Island_Group_Summary!$B$5:$F$5,C22+1)-INDEX(Island_Group_Summary!$B$5:$F$5,C22))))</f>
        <v>19601466.195133604</v>
      </c>
      <c r="F22" s="23">
        <f>IF(C22=5,INDEX(Island_Group_Summary!$B$9:$F$9,5),INDEX(Island_Group_Summary!$B$9:$F$9,C22)*(INDEX(Island_Group_Summary!$B$9:$F$9,C22+1)/INDEX(Island_Group_Summary!$B$9:$F$9,C22))^((B22-INDEX(Island_Group_Summary!$B$5:$F$5,C22))/(INDEX(Island_Group_Summary!$B$5:$F$5,C22+1)-INDEX(Island_Group_Summary!$B$5:$F$5,C22))))</f>
        <v>24530727.736648496</v>
      </c>
      <c r="G22" s="13">
        <f t="shared" si="0"/>
        <v>102486099.70109966</v>
      </c>
    </row>
    <row r="23" spans="1:7" x14ac:dyDescent="0.45">
      <c r="A23" s="18" t="s">
        <v>183</v>
      </c>
      <c r="B23" s="26">
        <f>DATE(2017,7,1)</f>
        <v>42917</v>
      </c>
      <c r="C23" s="24">
        <f>MATCH(B23,Island_Group_Summary!$B$5:$F$5,1)</f>
        <v>3</v>
      </c>
      <c r="D23" s="23">
        <f>IF(C23=5,INDEX(Island_Group_Summary!$B$7:$F$7,5),INDEX(Island_Group_Summary!$B$7:$F$7,C23)*(INDEX(Island_Group_Summary!$B$7:$F$7,C23+1)/INDEX(Island_Group_Summary!$B$7:$F$7,C23))^((B23-INDEX(Island_Group_Summary!$B$5:$F$5,C23))/(INDEX(Island_Group_Summary!$B$5:$F$5,C23+1)-INDEX(Island_Group_Summary!$B$5:$F$5,C23))))</f>
        <v>59332340.653412968</v>
      </c>
      <c r="E23" s="23">
        <f>IF(C23=5,INDEX(Island_Group_Summary!$B$8:$F$8,5),INDEX(Island_Group_Summary!$B$8:$F$8,C23)*(INDEX(Island_Group_Summary!$B$8:$F$8,C23+1)/INDEX(Island_Group_Summary!$B$8:$F$8,C23))^((B23-INDEX(Island_Group_Summary!$B$5:$F$5,C23))/(INDEX(Island_Group_Summary!$B$5:$F$5,C23+1)-INDEX(Island_Group_Summary!$B$5:$F$5,C23))))</f>
        <v>19852978.926314749</v>
      </c>
      <c r="F23" s="23">
        <f>IF(C23=5,INDEX(Island_Group_Summary!$B$9:$F$9,5),INDEX(Island_Group_Summary!$B$9:$F$9,C23)*(INDEX(Island_Group_Summary!$B$9:$F$9,C23+1)/INDEX(Island_Group_Summary!$B$9:$F$9,C23))^((B23-INDEX(Island_Group_Summary!$B$5:$F$5,C23))/(INDEX(Island_Group_Summary!$B$5:$F$5,C23+1)-INDEX(Island_Group_Summary!$B$5:$F$5,C23))))</f>
        <v>24968409.947755687</v>
      </c>
      <c r="G23" s="13">
        <f t="shared" si="0"/>
        <v>104153729.5274834</v>
      </c>
    </row>
    <row r="24" spans="1:7" x14ac:dyDescent="0.45">
      <c r="A24" s="18" t="s">
        <v>184</v>
      </c>
      <c r="B24" s="26">
        <f>DATE(2018,7,1)</f>
        <v>43282</v>
      </c>
      <c r="C24" s="24">
        <f>MATCH(B24,Island_Group_Summary!$B$5:$F$5,1)</f>
        <v>3</v>
      </c>
      <c r="D24" s="23">
        <f>IF(C24=5,INDEX(Island_Group_Summary!$B$7:$F$7,5),INDEX(Island_Group_Summary!$B$7:$F$7,C24)*(INDEX(Island_Group_Summary!$B$7:$F$7,C24+1)/INDEX(Island_Group_Summary!$B$7:$F$7,C24))^((B24-INDEX(Island_Group_Summary!$B$5:$F$5,C24))/(INDEX(Island_Group_Summary!$B$5:$F$5,C24+1)-INDEX(Island_Group_Summary!$B$5:$F$5,C24))))</f>
        <v>60327181.205814421</v>
      </c>
      <c r="E24" s="23">
        <f>IF(C24=5,INDEX(Island_Group_Summary!$B$8:$F$8,5),INDEX(Island_Group_Summary!$B$8:$F$8,C24)*(INDEX(Island_Group_Summary!$B$8:$F$8,C24+1)/INDEX(Island_Group_Summary!$B$8:$F$8,C24))^((B24-INDEX(Island_Group_Summary!$B$5:$F$5,C24))/(INDEX(Island_Group_Summary!$B$5:$F$5,C24+1)-INDEX(Island_Group_Summary!$B$5:$F$5,C24))))</f>
        <v>20107718.898423512</v>
      </c>
      <c r="F24" s="23">
        <f>IF(C24=5,INDEX(Island_Group_Summary!$B$9:$F$9,5),INDEX(Island_Group_Summary!$B$9:$F$9,C24)*(INDEX(Island_Group_Summary!$B$9:$F$9,C24+1)/INDEX(Island_Group_Summary!$B$9:$F$9,C24))^((B24-INDEX(Island_Group_Summary!$B$5:$F$5,C24))/(INDEX(Island_Group_Summary!$B$5:$F$5,C24+1)-INDEX(Island_Group_Summary!$B$5:$F$5,C24))))</f>
        <v>25413901.373492628</v>
      </c>
      <c r="G24" s="13">
        <f t="shared" si="0"/>
        <v>105848801.47773056</v>
      </c>
    </row>
    <row r="25" spans="1:7" x14ac:dyDescent="0.45">
      <c r="A25" s="18" t="s">
        <v>185</v>
      </c>
      <c r="B25" s="26">
        <f>DATE(2019,7,1)</f>
        <v>43647</v>
      </c>
      <c r="C25" s="24">
        <f>MATCH(B25,Island_Group_Summary!$B$5:$F$5,1)</f>
        <v>3</v>
      </c>
      <c r="D25" s="23">
        <f>IF(C25=5,INDEX(Island_Group_Summary!$B$7:$F$7,5),INDEX(Island_Group_Summary!$B$7:$F$7,C25)*(INDEX(Island_Group_Summary!$B$7:$F$7,C25+1)/INDEX(Island_Group_Summary!$B$7:$F$7,C25))^((B25-INDEX(Island_Group_Summary!$B$5:$F$5,C25))/(INDEX(Island_Group_Summary!$B$5:$F$5,C25+1)-INDEX(Island_Group_Summary!$B$5:$F$5,C25))))</f>
        <v>61338702.504564382</v>
      </c>
      <c r="E25" s="23">
        <f>IF(C25=5,INDEX(Island_Group_Summary!$B$8:$F$8,5),INDEX(Island_Group_Summary!$B$8:$F$8,C25)*(INDEX(Island_Group_Summary!$B$8:$F$8,C25+1)/INDEX(Island_Group_Summary!$B$8:$F$8,C25))^((B25-INDEX(Island_Group_Summary!$B$5:$F$5,C25))/(INDEX(Island_Group_Summary!$B$5:$F$5,C25+1)-INDEX(Island_Group_Summary!$B$5:$F$5,C25))))</f>
        <v>20365727.521228515</v>
      </c>
      <c r="F25" s="23">
        <f>IF(C25=5,INDEX(Island_Group_Summary!$B$9:$F$9,5),INDEX(Island_Group_Summary!$B$9:$F$9,C25)*(INDEX(Island_Group_Summary!$B$9:$F$9,C25+1)/INDEX(Island_Group_Summary!$B$9:$F$9,C25))^((B25-INDEX(Island_Group_Summary!$B$5:$F$5,C25))/(INDEX(Island_Group_Summary!$B$5:$F$5,C25+1)-INDEX(Island_Group_Summary!$B$5:$F$5,C25))))</f>
        <v>25867341.347447921</v>
      </c>
      <c r="G25" s="13">
        <f t="shared" si="0"/>
        <v>107571771.37324081</v>
      </c>
    </row>
    <row r="26" spans="1:7" x14ac:dyDescent="0.45">
      <c r="A26" s="18" t="s">
        <v>28</v>
      </c>
      <c r="B26" s="26">
        <f>DATE(2020,7,1)</f>
        <v>44013</v>
      </c>
      <c r="C26" s="24">
        <f>MATCH(B26,Island_Group_Summary!$B$5:$F$5,1)</f>
        <v>4</v>
      </c>
      <c r="D26" s="23">
        <f>IF(C26=5,INDEX(Island_Group_Summary!$B$7:$F$7,5),INDEX(Island_Group_Summary!$B$7:$F$7,C26)*(INDEX(Island_Group_Summary!$B$7:$F$7,C26+1)/INDEX(Island_Group_Summary!$B$7:$F$7,C26))^((B26-INDEX(Island_Group_Summary!$B$5:$F$5,C26))/(INDEX(Island_Group_Summary!$B$5:$F$5,C26+1)-INDEX(Island_Group_Summary!$B$5:$F$5,C26))))</f>
        <v>62274567.075591467</v>
      </c>
      <c r="E26" s="23">
        <f>IF(C26=5,INDEX(Island_Group_Summary!$B$8:$F$8,5),INDEX(Island_Group_Summary!$B$8:$F$8,C26)*(INDEX(Island_Group_Summary!$B$8:$F$8,C26+1)/INDEX(Island_Group_Summary!$B$8:$F$8,C26))^((B26-INDEX(Island_Group_Summary!$B$5:$F$5,C26))/(INDEX(Island_Group_Summary!$B$5:$F$5,C26+1)-INDEX(Island_Group_Summary!$B$5:$F$5,C26))))</f>
        <v>20601701.967259195</v>
      </c>
      <c r="F26" s="23">
        <f>IF(C26=5,INDEX(Island_Group_Summary!$B$9:$F$9,5),INDEX(Island_Group_Summary!$B$9:$F$9,C26)*(INDEX(Island_Group_Summary!$B$9:$F$9,C26+1)/INDEX(Island_Group_Summary!$B$9:$F$9,C26))^((B26-INDEX(Island_Group_Summary!$B$5:$F$5,C26))/(INDEX(Island_Group_Summary!$B$5:$F$5,C26+1)-INDEX(Island_Group_Summary!$B$5:$F$5,C26))))</f>
        <v>26302529.455104124</v>
      </c>
      <c r="G26" s="13">
        <f t="shared" si="0"/>
        <v>109178798.49795479</v>
      </c>
    </row>
    <row r="27" spans="1:7" x14ac:dyDescent="0.45">
      <c r="A27" s="18" t="s">
        <v>186</v>
      </c>
      <c r="B27" s="26">
        <f>DATE(2021,7,1)</f>
        <v>44378</v>
      </c>
      <c r="C27" s="24">
        <f>MATCH(B27,Island_Group_Summary!$B$5:$F$5,1)</f>
        <v>4</v>
      </c>
      <c r="D27" s="23">
        <f>IF(C27=5,INDEX(Island_Group_Summary!$B$7:$F$7,5),INDEX(Island_Group_Summary!$B$7:$F$7,C27)*(INDEX(Island_Group_Summary!$B$7:$F$7,C27+1)/INDEX(Island_Group_Summary!$B$7:$F$7,C27))^((B27-INDEX(Island_Group_Summary!$B$5:$F$5,C27))/(INDEX(Island_Group_Summary!$B$5:$F$5,C27+1)-INDEX(Island_Group_Summary!$B$5:$F$5,C27))))</f>
        <v>62741073.362771802</v>
      </c>
      <c r="E27" s="23">
        <f>IF(C27=5,INDEX(Island_Group_Summary!$B$8:$F$8,5),INDEX(Island_Group_Summary!$B$8:$F$8,C27)*(INDEX(Island_Group_Summary!$B$8:$F$8,C27+1)/INDEX(Island_Group_Summary!$B$8:$F$8,C27))^((B27-INDEX(Island_Group_Summary!$B$5:$F$5,C27))/(INDEX(Island_Group_Summary!$B$5:$F$5,C27+1)-INDEX(Island_Group_Summary!$B$5:$F$5,C27))))</f>
        <v>20708778.850969691</v>
      </c>
      <c r="F27" s="23">
        <f>IF(C27=5,INDEX(Island_Group_Summary!$B$9:$F$9,5),INDEX(Island_Group_Summary!$B$9:$F$9,C27)*(INDEX(Island_Group_Summary!$B$9:$F$9,C27+1)/INDEX(Island_Group_Summary!$B$9:$F$9,C27))^((B27-INDEX(Island_Group_Summary!$B$5:$F$5,C27))/(INDEX(Island_Group_Summary!$B$5:$F$5,C27+1)-INDEX(Island_Group_Summary!$B$5:$F$5,C27))))</f>
        <v>26604236.065953556</v>
      </c>
      <c r="G27" s="13">
        <f t="shared" si="0"/>
        <v>110054088.27969505</v>
      </c>
    </row>
    <row r="28" spans="1:7" x14ac:dyDescent="0.45">
      <c r="A28" s="18" t="s">
        <v>187</v>
      </c>
      <c r="B28" s="26">
        <f>DATE(2022,7,1)</f>
        <v>44743</v>
      </c>
      <c r="C28" s="24">
        <f>MATCH(B28,Island_Group_Summary!$B$5:$F$5,1)</f>
        <v>4</v>
      </c>
      <c r="D28" s="23">
        <f>IF(C28=5,INDEX(Island_Group_Summary!$B$7:$F$7,5),INDEX(Island_Group_Summary!$B$7:$F$7,C28)*(INDEX(Island_Group_Summary!$B$7:$F$7,C28+1)/INDEX(Island_Group_Summary!$B$7:$F$7,C28))^((B28-INDEX(Island_Group_Summary!$B$5:$F$5,C28))/(INDEX(Island_Group_Summary!$B$5:$F$5,C28+1)-INDEX(Island_Group_Summary!$B$5:$F$5,C28))))</f>
        <v>63211074.304771878</v>
      </c>
      <c r="E28" s="23">
        <f>IF(C28=5,INDEX(Island_Group_Summary!$B$8:$F$8,5),INDEX(Island_Group_Summary!$B$8:$F$8,C28)*(INDEX(Island_Group_Summary!$B$8:$F$8,C28+1)/INDEX(Island_Group_Summary!$B$8:$F$8,C28))^((B28-INDEX(Island_Group_Summary!$B$5:$F$5,C28))/(INDEX(Island_Group_Summary!$B$5:$F$5,C28+1)-INDEX(Island_Group_Summary!$B$5:$F$5,C28))))</f>
        <v>20816412.264380664</v>
      </c>
      <c r="F28" s="23">
        <f>IF(C28=5,INDEX(Island_Group_Summary!$B$9:$F$9,5),INDEX(Island_Group_Summary!$B$9:$F$9,C28)*(INDEX(Island_Group_Summary!$B$9:$F$9,C28+1)/INDEX(Island_Group_Summary!$B$9:$F$9,C28))^((B28-INDEX(Island_Group_Summary!$B$5:$F$5,C28))/(INDEX(Island_Group_Summary!$B$5:$F$5,C28+1)-INDEX(Island_Group_Summary!$B$5:$F$5,C28))))</f>
        <v>26909403.442018963</v>
      </c>
      <c r="G28" s="13">
        <f t="shared" si="0"/>
        <v>110936890.01117149</v>
      </c>
    </row>
    <row r="29" spans="1:7" x14ac:dyDescent="0.45">
      <c r="A29" s="18" t="s">
        <v>188</v>
      </c>
      <c r="B29" s="26">
        <f>DATE(2023,7,1)</f>
        <v>45108</v>
      </c>
      <c r="C29" s="24">
        <f>MATCH(B29,Island_Group_Summary!$B$5:$F$5,1)</f>
        <v>4</v>
      </c>
      <c r="D29" s="23">
        <f>IF(C29=5,INDEX(Island_Group_Summary!$B$7:$F$7,5),INDEX(Island_Group_Summary!$B$7:$F$7,C29)*(INDEX(Island_Group_Summary!$B$7:$F$7,C29+1)/INDEX(Island_Group_Summary!$B$7:$F$7,C29))^((B29-INDEX(Island_Group_Summary!$B$5:$F$5,C29))/(INDEX(Island_Group_Summary!$B$5:$F$5,C29+1)-INDEX(Island_Group_Summary!$B$5:$F$5,C29))))</f>
        <v>63684596.080472134</v>
      </c>
      <c r="E29" s="23">
        <f>IF(C29=5,INDEX(Island_Group_Summary!$B$8:$F$8,5),INDEX(Island_Group_Summary!$B$8:$F$8,C29)*(INDEX(Island_Group_Summary!$B$8:$F$8,C29+1)/INDEX(Island_Group_Summary!$B$8:$F$8,C29))^((B29-INDEX(Island_Group_Summary!$B$5:$F$5,C29))/(INDEX(Island_Group_Summary!$B$5:$F$5,C29+1)-INDEX(Island_Group_Summary!$B$5:$F$5,C29))))</f>
        <v>20924605.100042745</v>
      </c>
      <c r="F29" s="23">
        <f>IF(C29=5,INDEX(Island_Group_Summary!$B$9:$F$9,5),INDEX(Island_Group_Summary!$B$9:$F$9,C29)*(INDEX(Island_Group_Summary!$B$9:$F$9,C29+1)/INDEX(Island_Group_Summary!$B$9:$F$9,C29))^((B29-INDEX(Island_Group_Summary!$B$5:$F$5,C29))/(INDEX(Island_Group_Summary!$B$5:$F$5,C29+1)-INDEX(Island_Group_Summary!$B$5:$F$5,C29))))</f>
        <v>27218071.280461255</v>
      </c>
      <c r="G29" s="13">
        <f t="shared" si="0"/>
        <v>111827272.46097612</v>
      </c>
    </row>
    <row r="30" spans="1:7" x14ac:dyDescent="0.45">
      <c r="A30" s="18" t="s">
        <v>29</v>
      </c>
      <c r="B30" s="26">
        <f>DATE(2024,7,1)</f>
        <v>45474</v>
      </c>
      <c r="C30" s="24">
        <f>MATCH(B30,Island_Group_Summary!$B$5:$F$5,1)</f>
        <v>5</v>
      </c>
      <c r="D30" s="23">
        <f>IF(C30=5,INDEX(Island_Group_Summary!$B$7:$F$7,5),INDEX(Island_Group_Summary!$B$7:$F$7,C30)*(INDEX(Island_Group_Summary!$B$7:$F$7,C30+1)/INDEX(Island_Group_Summary!$B$7:$F$7,C30))^((B30-INDEX(Island_Group_Summary!$B$5:$F$5,C30))/(INDEX(Island_Group_Summary!$B$5:$F$5,C30+1)-INDEX(Island_Group_Summary!$B$5:$F$5,C30))))</f>
        <v>64162977</v>
      </c>
      <c r="E30" s="23">
        <f>IF(C30=5,INDEX(Island_Group_Summary!$B$8:$F$8,5),INDEX(Island_Group_Summary!$B$8:$F$8,C30)*(INDEX(Island_Group_Summary!$B$8:$F$8,C30+1)/INDEX(Island_Group_Summary!$B$8:$F$8,C30))^((B30-INDEX(Island_Group_Summary!$B$5:$F$5,C30))/(INDEX(Island_Group_Summary!$B$5:$F$5,C30+1)-INDEX(Island_Group_Summary!$B$5:$F$5,C30))))</f>
        <v>21033659</v>
      </c>
      <c r="F30" s="23">
        <f>IF(C30=5,INDEX(Island_Group_Summary!$B$9:$F$9,5),INDEX(Island_Group_Summary!$B$9:$F$9,C30)*(INDEX(Island_Group_Summary!$B$9:$F$9,C30+1)/INDEX(Island_Group_Summary!$B$9:$F$9,C30))^((B30-INDEX(Island_Group_Summary!$B$5:$F$5,C30))/(INDEX(Island_Group_Summary!$B$5:$F$5,C30+1)-INDEX(Island_Group_Summary!$B$5:$F$5,C30))))</f>
        <v>27531140</v>
      </c>
      <c r="G30" s="13">
        <f t="shared" si="0"/>
        <v>112727776</v>
      </c>
    </row>
    <row r="32" spans="1:7" x14ac:dyDescent="0.45">
      <c r="A32" s="7" t="s">
        <v>189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zoomScaleNormal="100" workbookViewId="0"/>
  </sheetViews>
  <sheetFormatPr defaultColWidth="8.6640625" defaultRowHeight="14.25" x14ac:dyDescent="0.45"/>
  <cols>
    <col min="1" max="1" width="4" customWidth="1"/>
    <col min="2" max="2" width="55" customWidth="1"/>
    <col min="3" max="3" width="40" customWidth="1"/>
    <col min="4" max="4" width="75" customWidth="1"/>
    <col min="5" max="5" width="16" customWidth="1"/>
  </cols>
  <sheetData>
    <row r="1" spans="1:5" ht="17.649999999999999" x14ac:dyDescent="0.5">
      <c r="A1" s="4" t="s">
        <v>190</v>
      </c>
    </row>
    <row r="2" spans="1:5" ht="42" customHeight="1" x14ac:dyDescent="0.45">
      <c r="A2" s="2" t="s">
        <v>191</v>
      </c>
      <c r="B2" s="2"/>
      <c r="C2" s="2"/>
      <c r="D2" s="2"/>
      <c r="E2" s="2"/>
    </row>
    <row r="4" spans="1:5" x14ac:dyDescent="0.45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</row>
    <row r="5" spans="1:5" ht="25.5" x14ac:dyDescent="0.45">
      <c r="A5" s="6">
        <v>1</v>
      </c>
      <c r="B5" s="6" t="s">
        <v>197</v>
      </c>
      <c r="C5" s="6" t="s">
        <v>198</v>
      </c>
      <c r="D5" s="20" t="s">
        <v>199</v>
      </c>
      <c r="E5" s="6" t="s">
        <v>200</v>
      </c>
    </row>
    <row r="6" spans="1:5" ht="23.25" x14ac:dyDescent="0.45">
      <c r="A6" s="6">
        <v>2</v>
      </c>
      <c r="B6" s="6" t="s">
        <v>201</v>
      </c>
      <c r="C6" s="6" t="s">
        <v>202</v>
      </c>
      <c r="D6" s="20" t="s">
        <v>203</v>
      </c>
      <c r="E6" s="6" t="s">
        <v>200</v>
      </c>
    </row>
    <row r="7" spans="1:5" ht="25.5" x14ac:dyDescent="0.45">
      <c r="A7" s="6">
        <v>3</v>
      </c>
      <c r="B7" s="6" t="s">
        <v>204</v>
      </c>
      <c r="C7" s="6" t="s">
        <v>205</v>
      </c>
      <c r="D7" s="20" t="s">
        <v>72</v>
      </c>
      <c r="E7" s="6" t="s">
        <v>206</v>
      </c>
    </row>
    <row r="8" spans="1:5" ht="23.25" x14ac:dyDescent="0.45">
      <c r="A8" s="6">
        <v>4</v>
      </c>
      <c r="B8" s="6" t="s">
        <v>207</v>
      </c>
      <c r="C8" s="6" t="s">
        <v>208</v>
      </c>
      <c r="D8" s="20" t="s">
        <v>68</v>
      </c>
      <c r="E8" s="6" t="s">
        <v>206</v>
      </c>
    </row>
    <row r="9" spans="1:5" ht="23.25" x14ac:dyDescent="0.45">
      <c r="A9" s="6">
        <v>5</v>
      </c>
      <c r="B9" s="6" t="s">
        <v>209</v>
      </c>
      <c r="C9" s="6" t="s">
        <v>210</v>
      </c>
      <c r="D9" s="20" t="s">
        <v>76</v>
      </c>
      <c r="E9" s="6" t="s">
        <v>206</v>
      </c>
    </row>
    <row r="10" spans="1:5" ht="23.25" x14ac:dyDescent="0.45">
      <c r="A10" s="6">
        <v>6</v>
      </c>
      <c r="B10" s="6" t="s">
        <v>211</v>
      </c>
      <c r="C10" s="6" t="s">
        <v>212</v>
      </c>
      <c r="D10" s="20" t="s">
        <v>80</v>
      </c>
      <c r="E10" s="6" t="s">
        <v>206</v>
      </c>
    </row>
    <row r="11" spans="1:5" ht="25.5" x14ac:dyDescent="0.45">
      <c r="A11" s="6">
        <v>7</v>
      </c>
      <c r="B11" s="6" t="s">
        <v>213</v>
      </c>
      <c r="C11" s="6" t="s">
        <v>214</v>
      </c>
      <c r="D11" s="20" t="s">
        <v>88</v>
      </c>
      <c r="E11" s="6" t="s">
        <v>200</v>
      </c>
    </row>
    <row r="12" spans="1:5" ht="23.25" x14ac:dyDescent="0.45">
      <c r="A12" s="6">
        <v>8</v>
      </c>
      <c r="B12" s="6" t="s">
        <v>215</v>
      </c>
      <c r="C12" s="6" t="s">
        <v>216</v>
      </c>
      <c r="D12" s="20" t="s">
        <v>95</v>
      </c>
      <c r="E12" s="6" t="s">
        <v>206</v>
      </c>
    </row>
    <row r="13" spans="1:5" ht="25.5" x14ac:dyDescent="0.45">
      <c r="A13" s="6">
        <v>9</v>
      </c>
      <c r="B13" s="6" t="s">
        <v>217</v>
      </c>
      <c r="C13" s="6" t="s">
        <v>218</v>
      </c>
      <c r="D13" s="20" t="s">
        <v>100</v>
      </c>
      <c r="E13" s="6" t="s">
        <v>206</v>
      </c>
    </row>
    <row r="14" spans="1:5" ht="23.25" x14ac:dyDescent="0.45">
      <c r="A14" s="6">
        <v>10</v>
      </c>
      <c r="B14" s="6" t="s">
        <v>219</v>
      </c>
      <c r="C14" s="6" t="s">
        <v>220</v>
      </c>
      <c r="D14" s="20" t="s">
        <v>109</v>
      </c>
      <c r="E14" s="6" t="s">
        <v>206</v>
      </c>
    </row>
    <row r="15" spans="1:5" ht="23.25" x14ac:dyDescent="0.45">
      <c r="A15" s="6">
        <v>11</v>
      </c>
      <c r="B15" s="6" t="s">
        <v>221</v>
      </c>
      <c r="C15" s="6" t="s">
        <v>222</v>
      </c>
      <c r="D15" s="20" t="s">
        <v>113</v>
      </c>
      <c r="E15" s="6" t="s">
        <v>206</v>
      </c>
    </row>
    <row r="16" spans="1:5" ht="23.25" x14ac:dyDescent="0.45">
      <c r="A16" s="6">
        <v>12</v>
      </c>
      <c r="B16" s="6" t="s">
        <v>223</v>
      </c>
      <c r="C16" s="6" t="s">
        <v>224</v>
      </c>
      <c r="D16" s="20" t="s">
        <v>117</v>
      </c>
      <c r="E16" s="6" t="s">
        <v>206</v>
      </c>
    </row>
    <row r="17" spans="1:5" ht="23.25" x14ac:dyDescent="0.45">
      <c r="A17" s="6">
        <v>13</v>
      </c>
      <c r="B17" s="6" t="s">
        <v>225</v>
      </c>
      <c r="C17" s="6" t="s">
        <v>226</v>
      </c>
      <c r="D17" s="20" t="s">
        <v>128</v>
      </c>
      <c r="E17" s="6" t="s">
        <v>206</v>
      </c>
    </row>
    <row r="18" spans="1:5" ht="25.5" x14ac:dyDescent="0.45">
      <c r="A18" s="6">
        <v>14</v>
      </c>
      <c r="B18" s="6" t="s">
        <v>227</v>
      </c>
      <c r="C18" s="6" t="s">
        <v>228</v>
      </c>
      <c r="D18" s="20" t="s">
        <v>229</v>
      </c>
      <c r="E18" s="6" t="s">
        <v>200</v>
      </c>
    </row>
    <row r="19" spans="1:5" ht="25.5" x14ac:dyDescent="0.45">
      <c r="A19" s="6">
        <v>15</v>
      </c>
      <c r="B19" s="6" t="s">
        <v>230</v>
      </c>
      <c r="C19" s="6" t="s">
        <v>231</v>
      </c>
      <c r="D19" s="20" t="s">
        <v>232</v>
      </c>
      <c r="E19" s="6" t="s">
        <v>206</v>
      </c>
    </row>
    <row r="20" spans="1:5" ht="25.5" x14ac:dyDescent="0.45">
      <c r="A20" s="6">
        <v>16</v>
      </c>
      <c r="B20" s="6" t="s">
        <v>233</v>
      </c>
      <c r="C20" s="6" t="s">
        <v>234</v>
      </c>
      <c r="D20" s="20" t="s">
        <v>235</v>
      </c>
      <c r="E20" s="6" t="s">
        <v>200</v>
      </c>
    </row>
    <row r="21" spans="1:5" x14ac:dyDescent="0.45">
      <c r="A21" s="6">
        <v>17</v>
      </c>
      <c r="B21" s="6" t="s">
        <v>236</v>
      </c>
      <c r="C21" s="6" t="s">
        <v>237</v>
      </c>
      <c r="D21" s="20" t="s">
        <v>67</v>
      </c>
      <c r="E21" s="6" t="s">
        <v>206</v>
      </c>
    </row>
    <row r="22" spans="1:5" ht="23.25" x14ac:dyDescent="0.45">
      <c r="A22" s="6">
        <v>18</v>
      </c>
      <c r="B22" s="6" t="s">
        <v>238</v>
      </c>
      <c r="C22" s="6" t="s">
        <v>239</v>
      </c>
      <c r="D22" s="20" t="s">
        <v>71</v>
      </c>
      <c r="E22" s="6" t="s">
        <v>206</v>
      </c>
    </row>
    <row r="23" spans="1:5" ht="23.25" x14ac:dyDescent="0.45">
      <c r="A23" s="6">
        <v>19</v>
      </c>
      <c r="B23" s="6" t="s">
        <v>240</v>
      </c>
      <c r="C23" s="6" t="s">
        <v>241</v>
      </c>
      <c r="D23" s="20" t="s">
        <v>75</v>
      </c>
      <c r="E23" s="6" t="s">
        <v>206</v>
      </c>
    </row>
    <row r="24" spans="1:5" ht="23.25" x14ac:dyDescent="0.45">
      <c r="A24" s="6">
        <v>20</v>
      </c>
      <c r="B24" s="6" t="s">
        <v>242</v>
      </c>
      <c r="C24" s="6" t="s">
        <v>243</v>
      </c>
      <c r="D24" s="20" t="s">
        <v>79</v>
      </c>
      <c r="E24" s="6" t="s">
        <v>200</v>
      </c>
    </row>
    <row r="25" spans="1:5" ht="23.25" x14ac:dyDescent="0.45">
      <c r="A25" s="6">
        <v>21</v>
      </c>
      <c r="B25" s="6" t="s">
        <v>244</v>
      </c>
      <c r="C25" s="6" t="s">
        <v>245</v>
      </c>
      <c r="D25" s="20" t="s">
        <v>83</v>
      </c>
      <c r="E25" s="6" t="s">
        <v>206</v>
      </c>
    </row>
    <row r="26" spans="1:5" ht="23.25" x14ac:dyDescent="0.45">
      <c r="A26" s="6">
        <v>22</v>
      </c>
      <c r="B26" s="6" t="s">
        <v>246</v>
      </c>
      <c r="C26" s="6" t="s">
        <v>247</v>
      </c>
      <c r="D26" s="20" t="s">
        <v>87</v>
      </c>
      <c r="E26" s="6" t="s">
        <v>206</v>
      </c>
    </row>
    <row r="27" spans="1:5" x14ac:dyDescent="0.45">
      <c r="A27" s="6">
        <v>23</v>
      </c>
      <c r="B27" s="6" t="s">
        <v>248</v>
      </c>
      <c r="C27" s="6" t="s">
        <v>249</v>
      </c>
      <c r="D27" s="20" t="s">
        <v>91</v>
      </c>
      <c r="E27" s="6" t="s">
        <v>206</v>
      </c>
    </row>
    <row r="28" spans="1:5" ht="23.25" x14ac:dyDescent="0.45">
      <c r="A28" s="6">
        <v>24</v>
      </c>
      <c r="B28" s="6" t="s">
        <v>250</v>
      </c>
      <c r="C28" s="6" t="s">
        <v>251</v>
      </c>
      <c r="D28" s="20" t="s">
        <v>94</v>
      </c>
      <c r="E28" s="6" t="s">
        <v>206</v>
      </c>
    </row>
    <row r="29" spans="1:5" ht="23.25" x14ac:dyDescent="0.45">
      <c r="A29" s="6">
        <v>25</v>
      </c>
      <c r="B29" s="6" t="s">
        <v>252</v>
      </c>
      <c r="C29" s="6" t="s">
        <v>253</v>
      </c>
      <c r="D29" s="20" t="s">
        <v>99</v>
      </c>
      <c r="E29" s="6" t="s">
        <v>200</v>
      </c>
    </row>
    <row r="30" spans="1:5" ht="23.25" x14ac:dyDescent="0.45">
      <c r="A30" s="6">
        <v>26</v>
      </c>
      <c r="B30" s="6" t="s">
        <v>254</v>
      </c>
      <c r="C30" s="6" t="s">
        <v>255</v>
      </c>
      <c r="D30" s="20" t="s">
        <v>108</v>
      </c>
      <c r="E30" s="6" t="s">
        <v>200</v>
      </c>
    </row>
    <row r="31" spans="1:5" ht="23.25" x14ac:dyDescent="0.45">
      <c r="A31" s="6">
        <v>27</v>
      </c>
      <c r="B31" s="6" t="s">
        <v>256</v>
      </c>
      <c r="C31" s="6" t="s">
        <v>257</v>
      </c>
      <c r="D31" s="20" t="s">
        <v>112</v>
      </c>
      <c r="E31" s="6" t="s">
        <v>206</v>
      </c>
    </row>
    <row r="32" spans="1:5" ht="23.25" x14ac:dyDescent="0.45">
      <c r="A32" s="6">
        <v>28</v>
      </c>
      <c r="B32" s="6" t="s">
        <v>258</v>
      </c>
      <c r="C32" s="6" t="s">
        <v>259</v>
      </c>
      <c r="D32" s="20" t="s">
        <v>116</v>
      </c>
      <c r="E32" s="6" t="s">
        <v>206</v>
      </c>
    </row>
    <row r="33" spans="1:5" ht="23.25" x14ac:dyDescent="0.45">
      <c r="A33" s="6">
        <v>29</v>
      </c>
      <c r="B33" s="6" t="s">
        <v>260</v>
      </c>
      <c r="C33" s="6" t="s">
        <v>261</v>
      </c>
      <c r="D33" s="20" t="s">
        <v>120</v>
      </c>
      <c r="E33" s="6" t="s">
        <v>206</v>
      </c>
    </row>
    <row r="34" spans="1:5" ht="23.25" x14ac:dyDescent="0.45">
      <c r="A34" s="6">
        <v>30</v>
      </c>
      <c r="B34" s="6" t="s">
        <v>262</v>
      </c>
      <c r="C34" s="6" t="s">
        <v>263</v>
      </c>
      <c r="D34" s="20" t="s">
        <v>123</v>
      </c>
      <c r="E34" s="6" t="s">
        <v>206</v>
      </c>
    </row>
    <row r="35" spans="1:5" ht="23.25" x14ac:dyDescent="0.45">
      <c r="A35" s="6">
        <v>31</v>
      </c>
      <c r="B35" s="6" t="s">
        <v>264</v>
      </c>
      <c r="C35" s="6" t="s">
        <v>265</v>
      </c>
      <c r="D35" s="20" t="s">
        <v>127</v>
      </c>
      <c r="E35" s="6" t="s">
        <v>206</v>
      </c>
    </row>
    <row r="36" spans="1:5" ht="23.25" x14ac:dyDescent="0.45">
      <c r="A36" s="6">
        <v>32</v>
      </c>
      <c r="B36" s="6" t="s">
        <v>266</v>
      </c>
      <c r="C36" s="6" t="s">
        <v>267</v>
      </c>
      <c r="D36" s="20" t="s">
        <v>131</v>
      </c>
      <c r="E36" s="6" t="s">
        <v>206</v>
      </c>
    </row>
    <row r="37" spans="1:5" ht="23.25" x14ac:dyDescent="0.45">
      <c r="A37" s="6">
        <v>33</v>
      </c>
      <c r="B37" s="6" t="s">
        <v>268</v>
      </c>
      <c r="C37" s="6" t="s">
        <v>269</v>
      </c>
      <c r="D37" s="20" t="s">
        <v>135</v>
      </c>
      <c r="E37" s="6" t="s">
        <v>200</v>
      </c>
    </row>
    <row r="39" spans="1:5" ht="31.5" customHeight="1" x14ac:dyDescent="0.45">
      <c r="B39" s="2" t="s">
        <v>270</v>
      </c>
      <c r="C39" s="2"/>
      <c r="D39" s="2"/>
      <c r="E39" s="2"/>
    </row>
  </sheetData>
  <mergeCells count="2">
    <mergeCell ref="A2:E2"/>
    <mergeCell ref="B39:E39"/>
  </mergeCells>
  <hyperlinks>
    <hyperlink ref="D5" r:id="rId1" xr:uid="{00000000-0004-0000-0500-000000000000}"/>
    <hyperlink ref="D6" r:id="rId2" xr:uid="{00000000-0004-0000-0500-000001000000}"/>
    <hyperlink ref="D7" r:id="rId3" xr:uid="{00000000-0004-0000-0500-000002000000}"/>
    <hyperlink ref="D8" r:id="rId4" xr:uid="{00000000-0004-0000-0500-000003000000}"/>
    <hyperlink ref="D9" r:id="rId5" xr:uid="{00000000-0004-0000-0500-000004000000}"/>
    <hyperlink ref="D10" r:id="rId6" xr:uid="{00000000-0004-0000-0500-000005000000}"/>
    <hyperlink ref="D11" r:id="rId7" xr:uid="{00000000-0004-0000-0500-000006000000}"/>
    <hyperlink ref="D12" r:id="rId8" xr:uid="{00000000-0004-0000-0500-000007000000}"/>
    <hyperlink ref="D13" r:id="rId9" xr:uid="{00000000-0004-0000-0500-000008000000}"/>
    <hyperlink ref="D14" r:id="rId10" xr:uid="{00000000-0004-0000-0500-000009000000}"/>
    <hyperlink ref="D15" r:id="rId11" xr:uid="{00000000-0004-0000-0500-00000A000000}"/>
    <hyperlink ref="D16" r:id="rId12" xr:uid="{00000000-0004-0000-0500-00000B000000}"/>
    <hyperlink ref="D17" r:id="rId13" xr:uid="{00000000-0004-0000-0500-00000C000000}"/>
    <hyperlink ref="D18" r:id="rId14" xr:uid="{00000000-0004-0000-0500-00000D000000}"/>
    <hyperlink ref="D19" r:id="rId15" xr:uid="{00000000-0004-0000-0500-00000E000000}"/>
    <hyperlink ref="D20" r:id="rId16" xr:uid="{00000000-0004-0000-0500-00000F000000}"/>
    <hyperlink ref="D21" r:id="rId17" xr:uid="{00000000-0004-0000-0500-000010000000}"/>
    <hyperlink ref="D22" r:id="rId18" xr:uid="{00000000-0004-0000-0500-000011000000}"/>
    <hyperlink ref="D23" r:id="rId19" xr:uid="{00000000-0004-0000-0500-000012000000}"/>
    <hyperlink ref="D24" r:id="rId20" xr:uid="{00000000-0004-0000-0500-000013000000}"/>
    <hyperlink ref="D25" r:id="rId21" xr:uid="{00000000-0004-0000-0500-000014000000}"/>
    <hyperlink ref="D26" r:id="rId22" xr:uid="{00000000-0004-0000-0500-000015000000}"/>
    <hyperlink ref="D27" r:id="rId23" xr:uid="{00000000-0004-0000-0500-000016000000}"/>
    <hyperlink ref="D28" r:id="rId24" xr:uid="{00000000-0004-0000-0500-000017000000}"/>
    <hyperlink ref="D29" r:id="rId25" xr:uid="{00000000-0004-0000-0500-000018000000}"/>
    <hyperlink ref="D30" r:id="rId26" xr:uid="{00000000-0004-0000-0500-000019000000}"/>
    <hyperlink ref="D31" r:id="rId27" xr:uid="{00000000-0004-0000-0500-00001A000000}"/>
    <hyperlink ref="D32" r:id="rId28" xr:uid="{00000000-0004-0000-0500-00001B000000}"/>
    <hyperlink ref="D33" r:id="rId29" xr:uid="{00000000-0004-0000-0500-00001C000000}"/>
    <hyperlink ref="D34" r:id="rId30" xr:uid="{00000000-0004-0000-0500-00001D000000}"/>
    <hyperlink ref="D35" r:id="rId31" xr:uid="{00000000-0004-0000-0500-00001E000000}"/>
    <hyperlink ref="D36" r:id="rId32" xr:uid="{00000000-0004-0000-0500-00001F000000}"/>
    <hyperlink ref="D37" r:id="rId33" xr:uid="{00000000-0004-0000-0500-00002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Island_Group_Summary</vt:lpstr>
      <vt:lpstr>Regional_Census</vt:lpstr>
      <vt:lpstr>Verification</vt:lpstr>
      <vt:lpstr>Annual_Interpolated_DERIVED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Giang Vũ</cp:lastModifiedBy>
  <cp:revision>0</cp:revision>
  <dcterms:created xsi:type="dcterms:W3CDTF">2026-09-24T13:30:00Z</dcterms:created>
  <dcterms:modified xsi:type="dcterms:W3CDTF">2026-10-09T11:52:49Z</dcterms:modified>
  <dc:language>en-US</dc:language>
</cp:coreProperties>
</file>